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W:\"/>
    </mc:Choice>
  </mc:AlternateContent>
  <xr:revisionPtr revIDLastSave="0" documentId="13_ncr:1_{AC1F9ED4-B1BA-4465-BACB-36151B57F16C}" xr6:coauthVersionLast="47" xr6:coauthVersionMax="47" xr10:uidLastSave="{00000000-0000-0000-0000-000000000000}"/>
  <workbookProtection workbookAlgorithmName="SHA-512" workbookHashValue="8eddct2lga5O8f1ob2FjOwe/T1RedBlsMJVMJEBokQiyIs7n4tS47X5GRq7tarQ0OeVwDaE9Q5/Wbr/TwhOPQQ==" workbookSaltValue="VS8CYp26UPCELTEO6b3FSQ==" workbookSpinCount="100000" lockStructure="1"/>
  <bookViews>
    <workbookView xWindow="-120" yWindow="-120" windowWidth="20730" windowHeight="11160" tabRatio="0" xr2:uid="{D666182D-71A9-41C6-91E4-355FB6C33089}"/>
  </bookViews>
  <sheets>
    <sheet name="Ajustes" sheetId="2" r:id="rId1"/>
    <sheet name="Estoque" sheetId="10" r:id="rId2"/>
    <sheet name="Subtotal" sheetId="7" r:id="rId3"/>
    <sheet name="Rastreabilidade" sheetId="1" r:id="rId4"/>
    <sheet name="Locais - Exp" sheetId="11" r:id="rId5"/>
  </sheets>
  <definedNames>
    <definedName name="_xlnm._FilterDatabase" localSheetId="1" hidden="1">Estoque!$B$5:$F$5</definedName>
    <definedName name="_xlnm._FilterDatabase" localSheetId="2" hidden="1">Subtotal!$B$1:$F$138</definedName>
    <definedName name="_xleta.LOOKUP" hidden="1" xlm="1">#NAME?</definedName>
    <definedName name="_xlnm.Criteria" localSheetId="2">Subtotal!#REF!</definedName>
    <definedName name="DadosExternos_1" localSheetId="2" hidden="1">Subtotal!$B$1:$F$138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C2" i="2"/>
  <c r="G142" i="1"/>
  <c r="G143" i="1"/>
  <c r="G144" i="1"/>
  <c r="B6" i="10" a="1"/>
  <c r="B6" i="10" s="1"/>
  <c r="G14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A6D47C-4C8D-42CD-B9B5-EE423ABA71DD}" keepAlive="1" name="Consulta - Subtotal" description="Conexão com a consulta 'Subtotal' na pasta de trabalho." type="5" refreshedVersion="8" background="1" saveData="1">
    <dbPr connection="Provider=Microsoft.Mashup.OleDb.1;Data Source=$Workbook$;Location=Subtotal;Extended Properties=&quot;&quot;" command="SELECT * FROM [Subtot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<sst xmlns="http://schemas.openxmlformats.org/spreadsheetml/2006/main" count="1860" uniqueCount="1168">
  <si>
    <t>Empresa</t>
  </si>
  <si>
    <t>OS</t>
  </si>
  <si>
    <t>DATA E HORA</t>
  </si>
  <si>
    <t>Entrada/Saída</t>
  </si>
  <si>
    <t>Data e Hora</t>
  </si>
  <si>
    <t>Quantidade</t>
  </si>
  <si>
    <t>Código</t>
  </si>
  <si>
    <t>Local</t>
  </si>
  <si>
    <t>Estoque</t>
  </si>
  <si>
    <t/>
  </si>
  <si>
    <t>Cód. Local</t>
  </si>
  <si>
    <t>Descrição</t>
  </si>
  <si>
    <t>Abreviado</t>
  </si>
  <si>
    <t>EXPEDIÇÃO</t>
  </si>
  <si>
    <t>EXP A-01</t>
  </si>
  <si>
    <t>A-01</t>
  </si>
  <si>
    <t>EXP A-02</t>
  </si>
  <si>
    <t>A-02</t>
  </si>
  <si>
    <t>EXP A-03</t>
  </si>
  <si>
    <t>A-03</t>
  </si>
  <si>
    <t>EXP A-04</t>
  </si>
  <si>
    <t>A-04</t>
  </si>
  <si>
    <t>EXP A-05</t>
  </si>
  <si>
    <t>A-05</t>
  </si>
  <si>
    <t>EXP A-06</t>
  </si>
  <si>
    <t>A-06</t>
  </si>
  <si>
    <t>EXP A-07</t>
  </si>
  <si>
    <t>A-07</t>
  </si>
  <si>
    <t>EXP A-08</t>
  </si>
  <si>
    <t>A-08</t>
  </si>
  <si>
    <t>EXP A-09</t>
  </si>
  <si>
    <t>A-09</t>
  </si>
  <si>
    <t>EXP A-10</t>
  </si>
  <si>
    <t>A-10</t>
  </si>
  <si>
    <t>EXP A-11</t>
  </si>
  <si>
    <t>A-11</t>
  </si>
  <si>
    <t>EXP A-12</t>
  </si>
  <si>
    <t>A-12</t>
  </si>
  <si>
    <t>EXP A-13</t>
  </si>
  <si>
    <t>A-13</t>
  </si>
  <si>
    <t>EXP A-14</t>
  </si>
  <si>
    <t>A-14</t>
  </si>
  <si>
    <t>EXP A-15</t>
  </si>
  <si>
    <t>A-15</t>
  </si>
  <si>
    <t>EXP A-16</t>
  </si>
  <si>
    <t>A-16</t>
  </si>
  <si>
    <t>EXP A-17</t>
  </si>
  <si>
    <t>A-17</t>
  </si>
  <si>
    <t>EXP A-18</t>
  </si>
  <si>
    <t>A-18</t>
  </si>
  <si>
    <t>EXP A-19</t>
  </si>
  <si>
    <t>A-19</t>
  </si>
  <si>
    <t>EXP A-20</t>
  </si>
  <si>
    <t>A-20</t>
  </si>
  <si>
    <t>EXP A-21</t>
  </si>
  <si>
    <t>A-21</t>
  </si>
  <si>
    <t>EXP A-22</t>
  </si>
  <si>
    <t>A-22</t>
  </si>
  <si>
    <t>EXP A-23</t>
  </si>
  <si>
    <t>A-23</t>
  </si>
  <si>
    <t>EXP A-24</t>
  </si>
  <si>
    <t>A-24</t>
  </si>
  <si>
    <t>EXP A-25</t>
  </si>
  <si>
    <t>A-25</t>
  </si>
  <si>
    <t>EXP A-26</t>
  </si>
  <si>
    <t>A-26</t>
  </si>
  <si>
    <t>EXP A-27</t>
  </si>
  <si>
    <t>A-27</t>
  </si>
  <si>
    <t>EXP A-28</t>
  </si>
  <si>
    <t>A-28</t>
  </si>
  <si>
    <t>EXP A-29</t>
  </si>
  <si>
    <t>A-29</t>
  </si>
  <si>
    <t>EXP A-30</t>
  </si>
  <si>
    <t>A-30</t>
  </si>
  <si>
    <t>EXP A-31</t>
  </si>
  <si>
    <t>A-31</t>
  </si>
  <si>
    <t>EXP A-32</t>
  </si>
  <si>
    <t>A-32</t>
  </si>
  <si>
    <t>EXP A-33</t>
  </si>
  <si>
    <t>A-33</t>
  </si>
  <si>
    <t>EXP A-34</t>
  </si>
  <si>
    <t>A-34</t>
  </si>
  <si>
    <t>EXP A-35</t>
  </si>
  <si>
    <t>A-35</t>
  </si>
  <si>
    <t>EXP A-36</t>
  </si>
  <si>
    <t>A-36</t>
  </si>
  <si>
    <t>EXP A-37</t>
  </si>
  <si>
    <t>A-37</t>
  </si>
  <si>
    <t>EXP A-38</t>
  </si>
  <si>
    <t>A-38</t>
  </si>
  <si>
    <t>EXP A-39</t>
  </si>
  <si>
    <t>A-39</t>
  </si>
  <si>
    <t>EXP A-40</t>
  </si>
  <si>
    <t>A-40</t>
  </si>
  <si>
    <t>EXP A-41</t>
  </si>
  <si>
    <t>A-41</t>
  </si>
  <si>
    <t>EXP A-42</t>
  </si>
  <si>
    <t>A-42</t>
  </si>
  <si>
    <t>EXP A-43</t>
  </si>
  <si>
    <t>A-43</t>
  </si>
  <si>
    <t>EXP A-44</t>
  </si>
  <si>
    <t>A-44</t>
  </si>
  <si>
    <t>EXP A-45</t>
  </si>
  <si>
    <t>A-45</t>
  </si>
  <si>
    <t>EXP A-46</t>
  </si>
  <si>
    <t>A-46</t>
  </si>
  <si>
    <t>EXP A-47</t>
  </si>
  <si>
    <t>A-47</t>
  </si>
  <si>
    <t>EXP A-48</t>
  </si>
  <si>
    <t>A-48</t>
  </si>
  <si>
    <t>EXP A-49</t>
  </si>
  <si>
    <t>A-49</t>
  </si>
  <si>
    <t>EXP A-50</t>
  </si>
  <si>
    <t>A-50</t>
  </si>
  <si>
    <t>EXP A-51</t>
  </si>
  <si>
    <t>A-51</t>
  </si>
  <si>
    <t>EXP A-52</t>
  </si>
  <si>
    <t>A-52</t>
  </si>
  <si>
    <t>EXP A-53</t>
  </si>
  <si>
    <t>A-53</t>
  </si>
  <si>
    <t>EXP A-54</t>
  </si>
  <si>
    <t>A-54</t>
  </si>
  <si>
    <t>EXP A-55</t>
  </si>
  <si>
    <t>A-55</t>
  </si>
  <si>
    <t>EXP A-56</t>
  </si>
  <si>
    <t>A-56</t>
  </si>
  <si>
    <t>EXP A-57</t>
  </si>
  <si>
    <t>A-57</t>
  </si>
  <si>
    <t>EXP A-58</t>
  </si>
  <si>
    <t>A-58</t>
  </si>
  <si>
    <t>EXP A-59</t>
  </si>
  <si>
    <t>A-59</t>
  </si>
  <si>
    <t>EXP A-60</t>
  </si>
  <si>
    <t>A-60</t>
  </si>
  <si>
    <t>EXP A-61</t>
  </si>
  <si>
    <t>A-61</t>
  </si>
  <si>
    <t>EXP A-62</t>
  </si>
  <si>
    <t>A-62</t>
  </si>
  <si>
    <t>EXP A-63</t>
  </si>
  <si>
    <t>A-63</t>
  </si>
  <si>
    <t>EXP A-64</t>
  </si>
  <si>
    <t>A-64</t>
  </si>
  <si>
    <t>EXP A-65</t>
  </si>
  <si>
    <t>A-65</t>
  </si>
  <si>
    <t>EXP A-66</t>
  </si>
  <si>
    <t>A-66</t>
  </si>
  <si>
    <t>EXP A-67</t>
  </si>
  <si>
    <t>A-67</t>
  </si>
  <si>
    <t>EXP A-68</t>
  </si>
  <si>
    <t>A-68</t>
  </si>
  <si>
    <t>EXP A-69</t>
  </si>
  <si>
    <t>A-69</t>
  </si>
  <si>
    <t>EXP A-70</t>
  </si>
  <si>
    <t>A-70</t>
  </si>
  <si>
    <t>EXP A-71</t>
  </si>
  <si>
    <t>A-71</t>
  </si>
  <si>
    <t>EXP A-72</t>
  </si>
  <si>
    <t>A-72</t>
  </si>
  <si>
    <t>EXP A-73</t>
  </si>
  <si>
    <t>A-73</t>
  </si>
  <si>
    <t>EXP A-74</t>
  </si>
  <si>
    <t>A-74</t>
  </si>
  <si>
    <t>EXP A-75</t>
  </si>
  <si>
    <t>A-75</t>
  </si>
  <si>
    <t>EXP A-76</t>
  </si>
  <si>
    <t>A-76</t>
  </si>
  <si>
    <t>EXP A-77</t>
  </si>
  <si>
    <t>A-77</t>
  </si>
  <si>
    <t>EXP A-78</t>
  </si>
  <si>
    <t>A-78</t>
  </si>
  <si>
    <t>EXP A-79</t>
  </si>
  <si>
    <t>A-79</t>
  </si>
  <si>
    <t>EXP A-80</t>
  </si>
  <si>
    <t>A-80</t>
  </si>
  <si>
    <t>EXP A-81</t>
  </si>
  <si>
    <t>A-81</t>
  </si>
  <si>
    <t>EXP A-82</t>
  </si>
  <si>
    <t>A-82</t>
  </si>
  <si>
    <t>EXP A-83</t>
  </si>
  <si>
    <t>A-83</t>
  </si>
  <si>
    <t>EXP A-84</t>
  </si>
  <si>
    <t>A-84</t>
  </si>
  <si>
    <t>EXP A-85</t>
  </si>
  <si>
    <t>A-85</t>
  </si>
  <si>
    <t>EXP A-86</t>
  </si>
  <si>
    <t>A-86</t>
  </si>
  <si>
    <t>EXP A-87</t>
  </si>
  <si>
    <t>A-87</t>
  </si>
  <si>
    <t>EXP A-88</t>
  </si>
  <si>
    <t>A-88</t>
  </si>
  <si>
    <t>EXP A-89</t>
  </si>
  <si>
    <t>A-89</t>
  </si>
  <si>
    <t>EXP A-90</t>
  </si>
  <si>
    <t>A-90</t>
  </si>
  <si>
    <t>EXP A-91</t>
  </si>
  <si>
    <t>A-91</t>
  </si>
  <si>
    <t>EXP A-92</t>
  </si>
  <si>
    <t>A-92</t>
  </si>
  <si>
    <t>EXP A-93</t>
  </si>
  <si>
    <t>A-93</t>
  </si>
  <si>
    <t>EXP A-94</t>
  </si>
  <si>
    <t>A-94</t>
  </si>
  <si>
    <t>EXP A-95</t>
  </si>
  <si>
    <t>A-95</t>
  </si>
  <si>
    <t>EXP A-96</t>
  </si>
  <si>
    <t>A-96</t>
  </si>
  <si>
    <t>EXP A-97</t>
  </si>
  <si>
    <t>A-97</t>
  </si>
  <si>
    <t>EXP A-98</t>
  </si>
  <si>
    <t>A-98</t>
  </si>
  <si>
    <t>EXP A-99</t>
  </si>
  <si>
    <t>A-99</t>
  </si>
  <si>
    <t>EXP A-100</t>
  </si>
  <si>
    <t>A-100</t>
  </si>
  <si>
    <t>EXP A-101</t>
  </si>
  <si>
    <t>A-101</t>
  </si>
  <si>
    <t>EXP A-102</t>
  </si>
  <si>
    <t>A-102</t>
  </si>
  <si>
    <t>EXP A-103</t>
  </si>
  <si>
    <t>A-103</t>
  </si>
  <si>
    <t>EXP A-104</t>
  </si>
  <si>
    <t>A-104</t>
  </si>
  <si>
    <t>EXP A-105</t>
  </si>
  <si>
    <t>A-105</t>
  </si>
  <si>
    <t>EXP A-106</t>
  </si>
  <si>
    <t>A-106</t>
  </si>
  <si>
    <t>EXP A-107</t>
  </si>
  <si>
    <t>A-107</t>
  </si>
  <si>
    <t>EXP A-108</t>
  </si>
  <si>
    <t>A-108</t>
  </si>
  <si>
    <t>EXP A-109</t>
  </si>
  <si>
    <t>A-109</t>
  </si>
  <si>
    <t>EXP A-110</t>
  </si>
  <si>
    <t>A-110</t>
  </si>
  <si>
    <t>EXP A-111</t>
  </si>
  <si>
    <t>A-111</t>
  </si>
  <si>
    <t>EXP A-112</t>
  </si>
  <si>
    <t>A-112</t>
  </si>
  <si>
    <t>EXP A-113</t>
  </si>
  <si>
    <t>A-113</t>
  </si>
  <si>
    <t>EXP A-114</t>
  </si>
  <si>
    <t>A-114</t>
  </si>
  <si>
    <t>EXP A-115</t>
  </si>
  <si>
    <t>A-115</t>
  </si>
  <si>
    <t>EXP A-116</t>
  </si>
  <si>
    <t>A-116</t>
  </si>
  <si>
    <t>EXP A-117</t>
  </si>
  <si>
    <t>A-117</t>
  </si>
  <si>
    <t>EXP A-118</t>
  </si>
  <si>
    <t>A-118</t>
  </si>
  <si>
    <t>EXP A-119</t>
  </si>
  <si>
    <t>A-119</t>
  </si>
  <si>
    <t>EXP A-120</t>
  </si>
  <si>
    <t>A-120</t>
  </si>
  <si>
    <t>EXP A-121</t>
  </si>
  <si>
    <t>A-121</t>
  </si>
  <si>
    <t>EXP A-122</t>
  </si>
  <si>
    <t>A-122</t>
  </si>
  <si>
    <t>EXP A-123</t>
  </si>
  <si>
    <t>A-123</t>
  </si>
  <si>
    <t>EXP A-124</t>
  </si>
  <si>
    <t>A-124</t>
  </si>
  <si>
    <t>EXP A-125</t>
  </si>
  <si>
    <t>A-125</t>
  </si>
  <si>
    <t>EXP A-126</t>
  </si>
  <si>
    <t>A-126</t>
  </si>
  <si>
    <t>EXP A-127</t>
  </si>
  <si>
    <t>A-127</t>
  </si>
  <si>
    <t>EXP A-128</t>
  </si>
  <si>
    <t>A-128</t>
  </si>
  <si>
    <t>EXP A-129</t>
  </si>
  <si>
    <t>A-129</t>
  </si>
  <si>
    <t>EXP B-01</t>
  </si>
  <si>
    <t>B-01</t>
  </si>
  <si>
    <t>EXP B-02</t>
  </si>
  <si>
    <t>B-02</t>
  </si>
  <si>
    <t>EXP B-03</t>
  </si>
  <si>
    <t>B-03</t>
  </si>
  <si>
    <t>EXP B-04</t>
  </si>
  <si>
    <t>B-04</t>
  </si>
  <si>
    <t>EXP B-05</t>
  </si>
  <si>
    <t>B-05</t>
  </si>
  <si>
    <t>EXP B-06</t>
  </si>
  <si>
    <t>B-06</t>
  </si>
  <si>
    <t>EXP B-07</t>
  </si>
  <si>
    <t>B-07</t>
  </si>
  <si>
    <t>EXP B-08</t>
  </si>
  <si>
    <t>B-08</t>
  </si>
  <si>
    <t>EXP C-03</t>
  </si>
  <si>
    <t>C-03</t>
  </si>
  <si>
    <t>EXP C-04</t>
  </si>
  <si>
    <t>C-04</t>
  </si>
  <si>
    <t>EXP C-05</t>
  </si>
  <si>
    <t>C-05</t>
  </si>
  <si>
    <t>EXP C-06</t>
  </si>
  <si>
    <t>C-06</t>
  </si>
  <si>
    <t>EXP C-07</t>
  </si>
  <si>
    <t>C-07</t>
  </si>
  <si>
    <t>EXP C-08</t>
  </si>
  <si>
    <t>C-08</t>
  </si>
  <si>
    <t>EXP CAÇ. AGRITECH</t>
  </si>
  <si>
    <t>CAÇ. AGRITECH</t>
  </si>
  <si>
    <t>EXP CAÇ-01</t>
  </si>
  <si>
    <t>CAÇ-01</t>
  </si>
  <si>
    <t>EXP CAÇ-02</t>
  </si>
  <si>
    <t>CAÇ-02</t>
  </si>
  <si>
    <t>EXP CAÇ-03</t>
  </si>
  <si>
    <t>CAÇ-03</t>
  </si>
  <si>
    <t>EXP CAÇ-04</t>
  </si>
  <si>
    <t>CAÇ-04</t>
  </si>
  <si>
    <t>EXP CAÇ-05</t>
  </si>
  <si>
    <t>CAÇ-05</t>
  </si>
  <si>
    <t>EXP CAÇ-06</t>
  </si>
  <si>
    <t>CAÇ-06</t>
  </si>
  <si>
    <t>EXP CAÇ-07</t>
  </si>
  <si>
    <t>CAÇ-07</t>
  </si>
  <si>
    <t>EXP CAÇ-08</t>
  </si>
  <si>
    <t>CAÇ-08</t>
  </si>
  <si>
    <t>EXP CAÇ-09</t>
  </si>
  <si>
    <t>CAÇ-09</t>
  </si>
  <si>
    <t>EXP CAÇ-10</t>
  </si>
  <si>
    <t>CAÇ-10</t>
  </si>
  <si>
    <t>EXP CAÇ-11</t>
  </si>
  <si>
    <t>CAÇ-11</t>
  </si>
  <si>
    <t>EXP CAÇ-12</t>
  </si>
  <si>
    <t>CAÇ-12</t>
  </si>
  <si>
    <t>EXP CAÇ-13</t>
  </si>
  <si>
    <t>CAÇ-13</t>
  </si>
  <si>
    <t>EXP CAÇ-14</t>
  </si>
  <si>
    <t>CAÇ-14</t>
  </si>
  <si>
    <t>EXP CAÇ-15</t>
  </si>
  <si>
    <t>CAÇ-15</t>
  </si>
  <si>
    <t>EXP CAÇ-16</t>
  </si>
  <si>
    <t>CAÇ-16</t>
  </si>
  <si>
    <t>EXP CAÇ-17</t>
  </si>
  <si>
    <t>CAÇ-17</t>
  </si>
  <si>
    <t>EXP CAÇ-18</t>
  </si>
  <si>
    <t>CAÇ-18</t>
  </si>
  <si>
    <t>EXP CAÇ-19</t>
  </si>
  <si>
    <t>CAÇ-19</t>
  </si>
  <si>
    <t>EXP CAÇ-20</t>
  </si>
  <si>
    <t>CAÇ-20</t>
  </si>
  <si>
    <t>EXP CAÇ-21</t>
  </si>
  <si>
    <t>CAÇ-21</t>
  </si>
  <si>
    <t>EXP CAÇ-22</t>
  </si>
  <si>
    <t>CAÇ-22</t>
  </si>
  <si>
    <t>EXP CAÇ-23</t>
  </si>
  <si>
    <t>CAÇ-23</t>
  </si>
  <si>
    <t>EXP CAÇ-24</t>
  </si>
  <si>
    <t>CAÇ-24</t>
  </si>
  <si>
    <t>EXP CAÇ-25</t>
  </si>
  <si>
    <t>CAÇ-25</t>
  </si>
  <si>
    <t>EXP CAÇ-26</t>
  </si>
  <si>
    <t>CAÇ-26</t>
  </si>
  <si>
    <t>EXP CAÇ-27</t>
  </si>
  <si>
    <t>CAÇ-27</t>
  </si>
  <si>
    <t>EXP CAÇ-28</t>
  </si>
  <si>
    <t>CAÇ-28</t>
  </si>
  <si>
    <t>EXP CAÇ-29</t>
  </si>
  <si>
    <t>CAÇ-29</t>
  </si>
  <si>
    <t>EXP CAÇ-30</t>
  </si>
  <si>
    <t>CAÇ-30</t>
  </si>
  <si>
    <t>EXP CAÇ-31</t>
  </si>
  <si>
    <t>CAÇ-31</t>
  </si>
  <si>
    <t>EXP CAÇ-32</t>
  </si>
  <si>
    <t>CAÇ-32</t>
  </si>
  <si>
    <t>EXP CAÇ-33</t>
  </si>
  <si>
    <t>CAÇ-33</t>
  </si>
  <si>
    <t>EXP CAÇ-34</t>
  </si>
  <si>
    <t>CAÇ-34</t>
  </si>
  <si>
    <t>EXP CAÇ-35</t>
  </si>
  <si>
    <t>CAÇ-35</t>
  </si>
  <si>
    <t>EXP CAÇ-36</t>
  </si>
  <si>
    <t>CAÇ-36</t>
  </si>
  <si>
    <t>EXP CAÇ-37</t>
  </si>
  <si>
    <t>CAÇ-37</t>
  </si>
  <si>
    <t>EXP CAÇ-38</t>
  </si>
  <si>
    <t>CAÇ-38</t>
  </si>
  <si>
    <t>EXP CAÇ-39</t>
  </si>
  <si>
    <t>CAÇ-39</t>
  </si>
  <si>
    <t>EXP CAÇ-40</t>
  </si>
  <si>
    <t>CAÇ-40</t>
  </si>
  <si>
    <t>EXP CAÇ-AGRITECH- 15</t>
  </si>
  <si>
    <t>CAÇ-AGRITECH- 15</t>
  </si>
  <si>
    <t>EXP CAÇ-AGT-03</t>
  </si>
  <si>
    <t>CAÇ-AGT-03</t>
  </si>
  <si>
    <t>EXP CAÇAMBA</t>
  </si>
  <si>
    <t>CAÇAMBA</t>
  </si>
  <si>
    <t>EXP CAÇ-EXP-01</t>
  </si>
  <si>
    <t>CAÇ-EXP-01</t>
  </si>
  <si>
    <t>EXP CAÇ-EXP-02</t>
  </si>
  <si>
    <t>CAÇ-EXP-02</t>
  </si>
  <si>
    <t>EXP CAÇ-EXP-03</t>
  </si>
  <si>
    <t>CAÇ-EXP-03</t>
  </si>
  <si>
    <t>EXP CAÇ-EXP-04</t>
  </si>
  <si>
    <t>CAÇ-EXP-04</t>
  </si>
  <si>
    <t>EXP CAÇ-EXP-05</t>
  </si>
  <si>
    <t>CAÇ-EXP-05</t>
  </si>
  <si>
    <t>EXP CAÇ-EXP-06</t>
  </si>
  <si>
    <t>CAÇ-EXP-06</t>
  </si>
  <si>
    <t>EXP CARRINHO</t>
  </si>
  <si>
    <t>CARRINHO</t>
  </si>
  <si>
    <t>EXP CHÃO DA EXP</t>
  </si>
  <si>
    <t>CHÃO DA EXP</t>
  </si>
  <si>
    <t>EXP D-01</t>
  </si>
  <si>
    <t>D-01</t>
  </si>
  <si>
    <t>EXP D-02</t>
  </si>
  <si>
    <t>D-02</t>
  </si>
  <si>
    <t>EXP D-03</t>
  </si>
  <si>
    <t>D-03</t>
  </si>
  <si>
    <t>EXP D-04</t>
  </si>
  <si>
    <t>D-04</t>
  </si>
  <si>
    <t>EXP D-05</t>
  </si>
  <si>
    <t>D-05</t>
  </si>
  <si>
    <t>EXP D-06</t>
  </si>
  <si>
    <t>D-06</t>
  </si>
  <si>
    <t>EXP D-07</t>
  </si>
  <si>
    <t>D-07</t>
  </si>
  <si>
    <t>EXP D-08</t>
  </si>
  <si>
    <t>D-08</t>
  </si>
  <si>
    <t>EXP E-03</t>
  </si>
  <si>
    <t>E-03</t>
  </si>
  <si>
    <t>EXP E-03-ARARAQ</t>
  </si>
  <si>
    <t>E-03-ARARAQ</t>
  </si>
  <si>
    <t>EXP E-04</t>
  </si>
  <si>
    <t>E-04</t>
  </si>
  <si>
    <t>EXP E-05</t>
  </si>
  <si>
    <t>E-05</t>
  </si>
  <si>
    <t>EXP E-06</t>
  </si>
  <si>
    <t>E-06</t>
  </si>
  <si>
    <t>EXP E-07</t>
  </si>
  <si>
    <t>E-07</t>
  </si>
  <si>
    <t>EXP E-08</t>
  </si>
  <si>
    <t>E-08</t>
  </si>
  <si>
    <t>EXP E-09</t>
  </si>
  <si>
    <t>E-09</t>
  </si>
  <si>
    <t>EXP E-10</t>
  </si>
  <si>
    <t>E-10</t>
  </si>
  <si>
    <t>EXP K.A-01</t>
  </si>
  <si>
    <t>K.A-01</t>
  </si>
  <si>
    <t>EXP K.A-03</t>
  </si>
  <si>
    <t>K.A-03</t>
  </si>
  <si>
    <t>EXP K.A-04</t>
  </si>
  <si>
    <t>K.A-04</t>
  </si>
  <si>
    <t>EXP K.A-06</t>
  </si>
  <si>
    <t>K.A-06</t>
  </si>
  <si>
    <t>EXP K.A-08</t>
  </si>
  <si>
    <t>K.A-08</t>
  </si>
  <si>
    <t>EXP K.A-10</t>
  </si>
  <si>
    <t>K.A-10</t>
  </si>
  <si>
    <t>EXP K.A-11</t>
  </si>
  <si>
    <t>K.A-11</t>
  </si>
  <si>
    <t>EXP K.A-13</t>
  </si>
  <si>
    <t>K.A-13</t>
  </si>
  <si>
    <t>EXP K.A-14</t>
  </si>
  <si>
    <t>K.A-14</t>
  </si>
  <si>
    <t>EXP K.A-15</t>
  </si>
  <si>
    <t>K.A-15</t>
  </si>
  <si>
    <t>EXP K.A-16</t>
  </si>
  <si>
    <t>K.A-16</t>
  </si>
  <si>
    <t>EXP K.A-17</t>
  </si>
  <si>
    <t>K.A-17</t>
  </si>
  <si>
    <t>EXP K-01</t>
  </si>
  <si>
    <t>K-01</t>
  </si>
  <si>
    <t>EXP K-02</t>
  </si>
  <si>
    <t>K-02</t>
  </si>
  <si>
    <t>EXP K-03</t>
  </si>
  <si>
    <t>K-03</t>
  </si>
  <si>
    <t>EXP K-04</t>
  </si>
  <si>
    <t>K-04</t>
  </si>
  <si>
    <t>EXP K-05</t>
  </si>
  <si>
    <t>K-05</t>
  </si>
  <si>
    <t>EXP K-06</t>
  </si>
  <si>
    <t>K-06</t>
  </si>
  <si>
    <t>EXP K-07</t>
  </si>
  <si>
    <t>K-07</t>
  </si>
  <si>
    <t>EXP K-08</t>
  </si>
  <si>
    <t>K-08</t>
  </si>
  <si>
    <t>EXP K-09</t>
  </si>
  <si>
    <t>K-09</t>
  </si>
  <si>
    <t>EXP K-10</t>
  </si>
  <si>
    <t>K-10</t>
  </si>
  <si>
    <t>EXP K-11</t>
  </si>
  <si>
    <t>K-11</t>
  </si>
  <si>
    <t>EXP K-12</t>
  </si>
  <si>
    <t>K-12</t>
  </si>
  <si>
    <t>EXP K-13</t>
  </si>
  <si>
    <t>K-13</t>
  </si>
  <si>
    <t>EXP K-14</t>
  </si>
  <si>
    <t>K-14</t>
  </si>
  <si>
    <t>EXP K-15</t>
  </si>
  <si>
    <t>K-15</t>
  </si>
  <si>
    <t>EXP K-16</t>
  </si>
  <si>
    <t>K-16</t>
  </si>
  <si>
    <t>EXP K-17</t>
  </si>
  <si>
    <t>K-17</t>
  </si>
  <si>
    <t>EXP K-18</t>
  </si>
  <si>
    <t>K-18</t>
  </si>
  <si>
    <t>EXP K-19</t>
  </si>
  <si>
    <t>K-19</t>
  </si>
  <si>
    <t>EXP K-20</t>
  </si>
  <si>
    <t>K-20</t>
  </si>
  <si>
    <t>EXP K-21</t>
  </si>
  <si>
    <t>K-21</t>
  </si>
  <si>
    <t>EXP K-22</t>
  </si>
  <si>
    <t>K-22</t>
  </si>
  <si>
    <t>EXP K-23</t>
  </si>
  <si>
    <t>K-23</t>
  </si>
  <si>
    <t>EXP K-24</t>
  </si>
  <si>
    <t>K-24</t>
  </si>
  <si>
    <t>EXP K-25</t>
  </si>
  <si>
    <t>K-25</t>
  </si>
  <si>
    <t>EXP K-26</t>
  </si>
  <si>
    <t>K-26</t>
  </si>
  <si>
    <t>EXP K-27</t>
  </si>
  <si>
    <t>K-27</t>
  </si>
  <si>
    <t>EXP K-28</t>
  </si>
  <si>
    <t>K-28</t>
  </si>
  <si>
    <t>EXP K-29</t>
  </si>
  <si>
    <t>K-29</t>
  </si>
  <si>
    <t>EXP K-30</t>
  </si>
  <si>
    <t>K-30</t>
  </si>
  <si>
    <t>EXP K-31</t>
  </si>
  <si>
    <t>K-31</t>
  </si>
  <si>
    <t>EXP K-32</t>
  </si>
  <si>
    <t>K-32</t>
  </si>
  <si>
    <t>EXP K-33</t>
  </si>
  <si>
    <t>K-33</t>
  </si>
  <si>
    <t>EXP K-34</t>
  </si>
  <si>
    <t>K-34</t>
  </si>
  <si>
    <t>EXP K-35</t>
  </si>
  <si>
    <t>K-35</t>
  </si>
  <si>
    <t>EXP K-36</t>
  </si>
  <si>
    <t>K-36</t>
  </si>
  <si>
    <t>EXP K-37</t>
  </si>
  <si>
    <t>K-37</t>
  </si>
  <si>
    <t>EXP K-38</t>
  </si>
  <si>
    <t>K-38</t>
  </si>
  <si>
    <t>EXP K-39</t>
  </si>
  <si>
    <t>K-39</t>
  </si>
  <si>
    <t>EXP K-40</t>
  </si>
  <si>
    <t>K-40</t>
  </si>
  <si>
    <t>EXP K-41</t>
  </si>
  <si>
    <t>K-41</t>
  </si>
  <si>
    <t>EXP K-42</t>
  </si>
  <si>
    <t>K-42</t>
  </si>
  <si>
    <t>EXP K-43</t>
  </si>
  <si>
    <t>K-43</t>
  </si>
  <si>
    <t>EXP K-44</t>
  </si>
  <si>
    <t>K-44</t>
  </si>
  <si>
    <t>EXP K-45</t>
  </si>
  <si>
    <t>K-45</t>
  </si>
  <si>
    <t>EXP K-46</t>
  </si>
  <si>
    <t>K-46</t>
  </si>
  <si>
    <t>EXP K-47</t>
  </si>
  <si>
    <t>K-47</t>
  </si>
  <si>
    <t>EXP K-48</t>
  </si>
  <si>
    <t>K-48</t>
  </si>
  <si>
    <t>EXP K-49</t>
  </si>
  <si>
    <t>K-49</t>
  </si>
  <si>
    <t>EXP K-50</t>
  </si>
  <si>
    <t>K-50</t>
  </si>
  <si>
    <t>EXP K-51</t>
  </si>
  <si>
    <t>K-51</t>
  </si>
  <si>
    <t>EXP K-52</t>
  </si>
  <si>
    <t>K-52</t>
  </si>
  <si>
    <t>EXP K-53</t>
  </si>
  <si>
    <t>K-53</t>
  </si>
  <si>
    <t>EXP K-54</t>
  </si>
  <si>
    <t>K-54</t>
  </si>
  <si>
    <t>EXP K-55</t>
  </si>
  <si>
    <t>K-55</t>
  </si>
  <si>
    <t>EXP K-56</t>
  </si>
  <si>
    <t>K-56</t>
  </si>
  <si>
    <t>EXP K-57</t>
  </si>
  <si>
    <t>K-57</t>
  </si>
  <si>
    <t>EXP K-58</t>
  </si>
  <si>
    <t>K-58</t>
  </si>
  <si>
    <t>EXP K-59</t>
  </si>
  <si>
    <t>K-59</t>
  </si>
  <si>
    <t>EXP K-60</t>
  </si>
  <si>
    <t>K-60</t>
  </si>
  <si>
    <t>EXP K-61</t>
  </si>
  <si>
    <t>K-61</t>
  </si>
  <si>
    <t>EXP K-62</t>
  </si>
  <si>
    <t>K-62</t>
  </si>
  <si>
    <t>EXP K-63</t>
  </si>
  <si>
    <t>K-63</t>
  </si>
  <si>
    <t>EXP G-08</t>
  </si>
  <si>
    <t>G-08</t>
  </si>
  <si>
    <r>
      <t>Código</t>
    </r>
    <r>
      <rPr>
        <b/>
        <sz val="18"/>
        <color rgb="FFFF0000"/>
        <rFont val="Arial Black"/>
        <family val="2"/>
      </rPr>
      <t>*</t>
    </r>
  </si>
  <si>
    <r>
      <t>Quantidade</t>
    </r>
    <r>
      <rPr>
        <b/>
        <sz val="18"/>
        <color rgb="FFFF0000"/>
        <rFont val="Arial Black"/>
        <family val="2"/>
      </rPr>
      <t>*</t>
    </r>
  </si>
  <si>
    <r>
      <t>OS</t>
    </r>
    <r>
      <rPr>
        <b/>
        <sz val="18"/>
        <color rgb="FFFF0000"/>
        <rFont val="Arial Black"/>
        <family val="2"/>
      </rPr>
      <t>*</t>
    </r>
  </si>
  <si>
    <r>
      <t>Local</t>
    </r>
    <r>
      <rPr>
        <b/>
        <sz val="18"/>
        <color rgb="FFFF0000"/>
        <rFont val="Arial Black"/>
        <family val="2"/>
      </rPr>
      <t>*</t>
    </r>
  </si>
  <si>
    <t>* Obrigatório</t>
  </si>
  <si>
    <t>4184338311NZ</t>
  </si>
  <si>
    <t>KOMATSU SUZANO</t>
  </si>
  <si>
    <t>11812</t>
  </si>
  <si>
    <t>23B4331380</t>
  </si>
  <si>
    <t>4176214130</t>
  </si>
  <si>
    <t>14777</t>
  </si>
  <si>
    <t>1400003153</t>
  </si>
  <si>
    <t>23B6071341</t>
  </si>
  <si>
    <t>2955</t>
  </si>
  <si>
    <t>1247251540</t>
  </si>
  <si>
    <t>3246</t>
  </si>
  <si>
    <t>13Y6212860</t>
  </si>
  <si>
    <t>2912</t>
  </si>
  <si>
    <t>2089797540</t>
  </si>
  <si>
    <t>2307</t>
  </si>
  <si>
    <t>21J5416190</t>
  </si>
  <si>
    <t>2855</t>
  </si>
  <si>
    <t>42051061</t>
  </si>
  <si>
    <t>1300004666</t>
  </si>
  <si>
    <t>4194337870</t>
  </si>
  <si>
    <t>1642</t>
  </si>
  <si>
    <t>4176231120</t>
  </si>
  <si>
    <t>2302</t>
  </si>
  <si>
    <t>23B6041260</t>
  </si>
  <si>
    <t>1406</t>
  </si>
  <si>
    <t>4184338131</t>
  </si>
  <si>
    <t>1235</t>
  </si>
  <si>
    <t>4A204B1030</t>
  </si>
  <si>
    <t>1768</t>
  </si>
  <si>
    <t>1340173170</t>
  </si>
  <si>
    <t>1300001708</t>
  </si>
  <si>
    <t>23B6041250</t>
  </si>
  <si>
    <t>1300003427</t>
  </si>
  <si>
    <t>AGRITECH</t>
  </si>
  <si>
    <t>2059792350</t>
  </si>
  <si>
    <t>1613</t>
  </si>
  <si>
    <t>21W6242470</t>
  </si>
  <si>
    <t>1200003891</t>
  </si>
  <si>
    <t>41962B1590</t>
  </si>
  <si>
    <t>2922</t>
  </si>
  <si>
    <t>23B6041190</t>
  </si>
  <si>
    <t>1500001505</t>
  </si>
  <si>
    <t>4179263160</t>
  </si>
  <si>
    <t>2713</t>
  </si>
  <si>
    <t>21K0172220</t>
  </si>
  <si>
    <t>1616</t>
  </si>
  <si>
    <t>20Y0361750</t>
  </si>
  <si>
    <t>267</t>
  </si>
  <si>
    <t>23B2711340</t>
  </si>
  <si>
    <t>261</t>
  </si>
  <si>
    <t>20Y4323470</t>
  </si>
  <si>
    <t>1200001587</t>
  </si>
  <si>
    <t>23B4335451</t>
  </si>
  <si>
    <t>SN</t>
  </si>
  <si>
    <t>2030151120</t>
  </si>
  <si>
    <t>16586</t>
  </si>
  <si>
    <t>4176231110</t>
  </si>
  <si>
    <t>1640</t>
  </si>
  <si>
    <t>737310600</t>
  </si>
  <si>
    <t>587</t>
  </si>
  <si>
    <t>12Y9783571</t>
  </si>
  <si>
    <t>2612</t>
  </si>
  <si>
    <t>4184337161</t>
  </si>
  <si>
    <t>136</t>
  </si>
  <si>
    <t>967</t>
  </si>
  <si>
    <t>418433761</t>
  </si>
  <si>
    <t>4164337420</t>
  </si>
  <si>
    <t>2301</t>
  </si>
  <si>
    <t>2921</t>
  </si>
  <si>
    <t>41706B1830</t>
  </si>
  <si>
    <t>13464</t>
  </si>
  <si>
    <t>278100311</t>
  </si>
  <si>
    <t>3855</t>
  </si>
  <si>
    <t>1950116140</t>
  </si>
  <si>
    <t>9306</t>
  </si>
  <si>
    <t>195011640</t>
  </si>
  <si>
    <t>10156</t>
  </si>
  <si>
    <t>4196231712</t>
  </si>
  <si>
    <t>342</t>
  </si>
  <si>
    <t>4193311460</t>
  </si>
  <si>
    <t>2021</t>
  </si>
  <si>
    <t>23D2711940</t>
  </si>
  <si>
    <t>16002</t>
  </si>
  <si>
    <t>420510630</t>
  </si>
  <si>
    <t>14445</t>
  </si>
  <si>
    <t>15634</t>
  </si>
  <si>
    <t>421020624</t>
  </si>
  <si>
    <t>10020</t>
  </si>
  <si>
    <t>417S624920</t>
  </si>
  <si>
    <t>15875</t>
  </si>
  <si>
    <t>4198771390</t>
  </si>
  <si>
    <t>10997</t>
  </si>
  <si>
    <t>23B43333435</t>
  </si>
  <si>
    <t>1611250019</t>
  </si>
  <si>
    <t>8255624370</t>
  </si>
  <si>
    <t>16155</t>
  </si>
  <si>
    <t>420511038</t>
  </si>
  <si>
    <t>14973</t>
  </si>
  <si>
    <t>12Y9783580</t>
  </si>
  <si>
    <t>2886</t>
  </si>
  <si>
    <t>15553</t>
  </si>
  <si>
    <t>12Y0312450</t>
  </si>
  <si>
    <t>11575</t>
  </si>
  <si>
    <t>1244352980</t>
  </si>
  <si>
    <t>6133</t>
  </si>
  <si>
    <t>2036257730</t>
  </si>
  <si>
    <t>2296</t>
  </si>
  <si>
    <t>23B5474410</t>
  </si>
  <si>
    <t>16239</t>
  </si>
  <si>
    <t>23B1631770</t>
  </si>
  <si>
    <t>1636</t>
  </si>
  <si>
    <t>4274328660</t>
  </si>
  <si>
    <t>1488</t>
  </si>
  <si>
    <t>13Y6213440</t>
  </si>
  <si>
    <t>2913</t>
  </si>
  <si>
    <t>23B6041210</t>
  </si>
  <si>
    <t>23B43B1120S</t>
  </si>
  <si>
    <t>1611280020</t>
  </si>
  <si>
    <t>4184347980</t>
  </si>
  <si>
    <t>2303</t>
  </si>
  <si>
    <t>4184338120SG</t>
  </si>
  <si>
    <t>2408102553</t>
  </si>
  <si>
    <t>23C0662150</t>
  </si>
  <si>
    <t>2239</t>
  </si>
  <si>
    <t>12Y0112530</t>
  </si>
  <si>
    <t>15277</t>
  </si>
  <si>
    <t>2384331451</t>
  </si>
  <si>
    <t>1100001914</t>
  </si>
  <si>
    <t>12Y9783470</t>
  </si>
  <si>
    <t>3251</t>
  </si>
  <si>
    <t>12Y4312552XC</t>
  </si>
  <si>
    <t>1779</t>
  </si>
  <si>
    <t>17AZ113180</t>
  </si>
  <si>
    <t>3018</t>
  </si>
  <si>
    <t>1240151850</t>
  </si>
  <si>
    <t>12729</t>
  </si>
  <si>
    <t>14X5434331</t>
  </si>
  <si>
    <t>1406300015</t>
  </si>
  <si>
    <t>12Y9783561</t>
  </si>
  <si>
    <t>1609</t>
  </si>
  <si>
    <t>2611</t>
  </si>
  <si>
    <t>12Y9783241</t>
  </si>
  <si>
    <t>15770</t>
  </si>
  <si>
    <t>2037062C60</t>
  </si>
  <si>
    <t>16067</t>
  </si>
  <si>
    <t>23B0771680</t>
  </si>
  <si>
    <t>15391</t>
  </si>
  <si>
    <t>11Y6212350</t>
  </si>
  <si>
    <t>15876</t>
  </si>
  <si>
    <t>23B6041240</t>
  </si>
  <si>
    <t>1500001057</t>
  </si>
  <si>
    <t>11Y4312710</t>
  </si>
  <si>
    <t>2237</t>
  </si>
  <si>
    <t>3004</t>
  </si>
  <si>
    <t>1240161130</t>
  </si>
  <si>
    <t>15846</t>
  </si>
  <si>
    <t>2016271820</t>
  </si>
  <si>
    <t>1730</t>
  </si>
  <si>
    <t>EXC.A-01</t>
  </si>
  <si>
    <t>EXC.A-02</t>
  </si>
  <si>
    <t>EXC.A-03</t>
  </si>
  <si>
    <t>EXC.A-04</t>
  </si>
  <si>
    <t>EXC.A-05</t>
  </si>
  <si>
    <t>EXC.A-06</t>
  </si>
  <si>
    <t>EXC.A-07</t>
  </si>
  <si>
    <t>EXC.A-08</t>
  </si>
  <si>
    <t>EXC.A-09</t>
  </si>
  <si>
    <t>EXC.A-10</t>
  </si>
  <si>
    <t>EXC.A-11</t>
  </si>
  <si>
    <t>EXC.A-12</t>
  </si>
  <si>
    <t>EXC.A-13</t>
  </si>
  <si>
    <t>EXC.A-14</t>
  </si>
  <si>
    <t>EXC.A-15</t>
  </si>
  <si>
    <t>EXC.A-16</t>
  </si>
  <si>
    <t>EXC.A-17</t>
  </si>
  <si>
    <t>EXC.A-18</t>
  </si>
  <si>
    <t>EXC.A-19</t>
  </si>
  <si>
    <t>EXC.A-20</t>
  </si>
  <si>
    <t>EXC.A-21</t>
  </si>
  <si>
    <t>EXC.A-22</t>
  </si>
  <si>
    <t>EXC.A-23</t>
  </si>
  <si>
    <t>EXC.A-24</t>
  </si>
  <si>
    <t>EXC.A-25</t>
  </si>
  <si>
    <t>EXC.A-26</t>
  </si>
  <si>
    <t>EXC.A-27</t>
  </si>
  <si>
    <t>EXC.A-28</t>
  </si>
  <si>
    <t>EXC.A-29</t>
  </si>
  <si>
    <t>EXC.A-30</t>
  </si>
  <si>
    <t>EXC.A-31</t>
  </si>
  <si>
    <t>EXC.A-32</t>
  </si>
  <si>
    <t>EXC.A-33</t>
  </si>
  <si>
    <t>EXC.A-34</t>
  </si>
  <si>
    <t>EXC.A-35</t>
  </si>
  <si>
    <t>EXC.A-36</t>
  </si>
  <si>
    <t>EXC.A-37</t>
  </si>
  <si>
    <t>EXC.A-38</t>
  </si>
  <si>
    <t>EXC.A-39</t>
  </si>
  <si>
    <t>EXC.A-40</t>
  </si>
  <si>
    <t>EXC.A-41</t>
  </si>
  <si>
    <t>EXC.A-42</t>
  </si>
  <si>
    <t>EXC.A-43</t>
  </si>
  <si>
    <t>EXC.A-44</t>
  </si>
  <si>
    <t>EXC.A-45</t>
  </si>
  <si>
    <t>EXC.A-46</t>
  </si>
  <si>
    <t>EXC.A-47</t>
  </si>
  <si>
    <t>EXC.A-48</t>
  </si>
  <si>
    <t>EXC.A-49</t>
  </si>
  <si>
    <t>EXC.A-50</t>
  </si>
  <si>
    <t>EXC.A-51</t>
  </si>
  <si>
    <t>EXC.A-52</t>
  </si>
  <si>
    <t>EXC.A-53</t>
  </si>
  <si>
    <t>EXC.A-54</t>
  </si>
  <si>
    <t>EXC.A-55</t>
  </si>
  <si>
    <t>EXC.A-56</t>
  </si>
  <si>
    <t>EXC.A-57</t>
  </si>
  <si>
    <t>EXC.A-58</t>
  </si>
  <si>
    <t>EXC.A-59</t>
  </si>
  <si>
    <t>EXC.A-60</t>
  </si>
  <si>
    <t>EXC.A-61</t>
  </si>
  <si>
    <t>EXC.A-62</t>
  </si>
  <si>
    <t>EXC.A-63</t>
  </si>
  <si>
    <t>EXC.A-64</t>
  </si>
  <si>
    <t>EXC.A-65</t>
  </si>
  <si>
    <t>EXC.A-66</t>
  </si>
  <si>
    <t>EXC.A-67</t>
  </si>
  <si>
    <t>EXC.A-68</t>
  </si>
  <si>
    <t>EXC.A-69</t>
  </si>
  <si>
    <t>EXC.A-70</t>
  </si>
  <si>
    <t>EXC.A-71</t>
  </si>
  <si>
    <t>EXC.A-72</t>
  </si>
  <si>
    <t>EXC.A-73</t>
  </si>
  <si>
    <t>EXC.A-74</t>
  </si>
  <si>
    <t>EXC.A-75</t>
  </si>
  <si>
    <t>EXC.A-76</t>
  </si>
  <si>
    <t>EXC.A-77</t>
  </si>
  <si>
    <t>EXC.A-78</t>
  </si>
  <si>
    <t>EXC.A-79</t>
  </si>
  <si>
    <t>EXC.A-80</t>
  </si>
  <si>
    <t>EXC.A-81</t>
  </si>
  <si>
    <t>EXC.A-82</t>
  </si>
  <si>
    <t>EXC.A-83</t>
  </si>
  <si>
    <t>EXC.A-84</t>
  </si>
  <si>
    <t>EXC.A-85</t>
  </si>
  <si>
    <t>EXC.A-86</t>
  </si>
  <si>
    <t>EXC.A-87</t>
  </si>
  <si>
    <t>EXC.A-88</t>
  </si>
  <si>
    <t>EXC.A-89</t>
  </si>
  <si>
    <t>EXC.A-90</t>
  </si>
  <si>
    <t>EXC.A-91</t>
  </si>
  <si>
    <t>EXC.A-92</t>
  </si>
  <si>
    <t>EXC.A-93</t>
  </si>
  <si>
    <t>EXC.A-94</t>
  </si>
  <si>
    <t>EXC.A-95</t>
  </si>
  <si>
    <t>EXC.A-96</t>
  </si>
  <si>
    <t>EXC.A-97</t>
  </si>
  <si>
    <t>EXC.A-98</t>
  </si>
  <si>
    <t>EXC.A-99</t>
  </si>
  <si>
    <t>EXC.A-100</t>
  </si>
  <si>
    <t>EXC.A-101</t>
  </si>
  <si>
    <t>EXC.A-102</t>
  </si>
  <si>
    <t>EXC.A-103</t>
  </si>
  <si>
    <t>EXC.A-104</t>
  </si>
  <si>
    <t>EXC.A-105</t>
  </si>
  <si>
    <t>EXC.A-106</t>
  </si>
  <si>
    <t>EXC.A-107</t>
  </si>
  <si>
    <t>EXC.A-108</t>
  </si>
  <si>
    <t>EXC.A-109</t>
  </si>
  <si>
    <t>EXC.A-110</t>
  </si>
  <si>
    <t>EXC.A-111</t>
  </si>
  <si>
    <t>EXC.A-112</t>
  </si>
  <si>
    <t>EXC.A-113</t>
  </si>
  <si>
    <t>EXC.A-114</t>
  </si>
  <si>
    <t>EXC.A-115</t>
  </si>
  <si>
    <t>EXC.A-116</t>
  </si>
  <si>
    <t>EXC.A-117</t>
  </si>
  <si>
    <t>EXC.A-118</t>
  </si>
  <si>
    <t>EXC.A-119</t>
  </si>
  <si>
    <t>EXC.A-120</t>
  </si>
  <si>
    <t>EXC.A-121</t>
  </si>
  <si>
    <t>EXC.A-122</t>
  </si>
  <si>
    <t>EXC.A-123</t>
  </si>
  <si>
    <t>EXC.A-124</t>
  </si>
  <si>
    <t>EXC.A-125</t>
  </si>
  <si>
    <t>EXC.A-126</t>
  </si>
  <si>
    <t>EXC.A-127</t>
  </si>
  <si>
    <t>EXC.A-128</t>
  </si>
  <si>
    <t>EXC.A-129</t>
  </si>
  <si>
    <t>EXC.B-01</t>
  </si>
  <si>
    <t>EXC.B-02</t>
  </si>
  <si>
    <t>EXC.B-03</t>
  </si>
  <si>
    <t>EXC.B-04</t>
  </si>
  <si>
    <t>EXC.B-05</t>
  </si>
  <si>
    <t>EXC.B-06</t>
  </si>
  <si>
    <t>EXC.B-07</t>
  </si>
  <si>
    <t>EXC.B-08</t>
  </si>
  <si>
    <t>EXC.C-03</t>
  </si>
  <si>
    <t>EXC.C-04</t>
  </si>
  <si>
    <t>EXC.C-05</t>
  </si>
  <si>
    <t>EXC.C-06</t>
  </si>
  <si>
    <t>EXC.C-07</t>
  </si>
  <si>
    <t>EXC.C-08</t>
  </si>
  <si>
    <t>EXC.CAÇ. AGRITECH</t>
  </si>
  <si>
    <t>EXC.CAÇ-01</t>
  </si>
  <si>
    <t>EXC.CAÇ-02</t>
  </si>
  <si>
    <t>EXC.CAÇ-03</t>
  </si>
  <si>
    <t>EXC.CAÇ-04</t>
  </si>
  <si>
    <t>EXC.CAÇ-05</t>
  </si>
  <si>
    <t>EXC.CAÇ-06</t>
  </si>
  <si>
    <t>EXC.CAÇ-07</t>
  </si>
  <si>
    <t>EXC.CAÇ-08</t>
  </si>
  <si>
    <t>EXC.CAÇ-09</t>
  </si>
  <si>
    <t>EXC.CAÇ-10</t>
  </si>
  <si>
    <t>EXC.CAÇ-11</t>
  </si>
  <si>
    <t>EXC.CAÇ-12</t>
  </si>
  <si>
    <t>EXC.CAÇ-13</t>
  </si>
  <si>
    <t>EXC.CAÇ-14</t>
  </si>
  <si>
    <t>EXC.CAÇ-15</t>
  </si>
  <si>
    <t>EXC.CAÇ-16</t>
  </si>
  <si>
    <t>EXC.CAÇ-17</t>
  </si>
  <si>
    <t>EXC.CAÇ-18</t>
  </si>
  <si>
    <t>EXC.CAÇ-19</t>
  </si>
  <si>
    <t>EXC.CAÇ-20</t>
  </si>
  <si>
    <t>EXC.CAÇ-21</t>
  </si>
  <si>
    <t>EXC.CAÇ-22</t>
  </si>
  <si>
    <t>EXC.CAÇ-23</t>
  </si>
  <si>
    <t>EXC.CAÇ-24</t>
  </si>
  <si>
    <t>EXC.CAÇ-25</t>
  </si>
  <si>
    <t>EXC.CAÇ-26</t>
  </si>
  <si>
    <t>EXC.CAÇ-27</t>
  </si>
  <si>
    <t>EXC.CAÇ-28</t>
  </si>
  <si>
    <t>EXC.CAÇ-29</t>
  </si>
  <si>
    <t>EXC.CAÇ-30</t>
  </si>
  <si>
    <t>EXC.CAÇ-31</t>
  </si>
  <si>
    <t>EXC.CAÇ-32</t>
  </si>
  <si>
    <t>EXC.CAÇ-33</t>
  </si>
  <si>
    <t>EXC.CAÇ-34</t>
  </si>
  <si>
    <t>EXC.CAÇ-35</t>
  </si>
  <si>
    <t>EXC.CAÇ-36</t>
  </si>
  <si>
    <t>EXC.CAÇ-37</t>
  </si>
  <si>
    <t>EXC.CAÇ-38</t>
  </si>
  <si>
    <t>EXC.CAÇ-39</t>
  </si>
  <si>
    <t>EXC.CAÇ-40</t>
  </si>
  <si>
    <t>EXC.CAÇ-AGRITECH- 15</t>
  </si>
  <si>
    <t>EXC.CAÇ-AGT-03</t>
  </si>
  <si>
    <t>EXC.CAÇAMBA</t>
  </si>
  <si>
    <t>EXC.CAÇ-EXP-01</t>
  </si>
  <si>
    <t>EXC.CAÇ-EXP-02</t>
  </si>
  <si>
    <t>EXC.CAÇ-EXP-03</t>
  </si>
  <si>
    <t>EXC.CAÇ-EXP-04</t>
  </si>
  <si>
    <t>EXC.CAÇ-EXP-05</t>
  </si>
  <si>
    <t>EXC.CAÇ-EXP-06</t>
  </si>
  <si>
    <t>EXC.CARRINHO</t>
  </si>
  <si>
    <t>EXC.CHÃO DA EXP</t>
  </si>
  <si>
    <t>EXC.D-01</t>
  </si>
  <si>
    <t>EXC.D-02</t>
  </si>
  <si>
    <t>EXC.D-03</t>
  </si>
  <si>
    <t>EXC.D-04</t>
  </si>
  <si>
    <t>EXC.D-05</t>
  </si>
  <si>
    <t>EXC.D-06</t>
  </si>
  <si>
    <t>EXC.D-07</t>
  </si>
  <si>
    <t>EXC.D-08</t>
  </si>
  <si>
    <t>EXC.E-03</t>
  </si>
  <si>
    <t>EXC.E-03-ARARAQ</t>
  </si>
  <si>
    <t>EXC.E-04</t>
  </si>
  <si>
    <t>EXC.E-05</t>
  </si>
  <si>
    <t>EXC.E-06</t>
  </si>
  <si>
    <t>EXC.E-07</t>
  </si>
  <si>
    <t>EXC.E-08</t>
  </si>
  <si>
    <t>EXC.E-09</t>
  </si>
  <si>
    <t>EXC.E-10</t>
  </si>
  <si>
    <t>EXC.K.A-01</t>
  </si>
  <si>
    <t>EXC.K.A-03</t>
  </si>
  <si>
    <t>EXC.K.A-04</t>
  </si>
  <si>
    <t>EXC.K.A-06</t>
  </si>
  <si>
    <t>EXC.K.A-08</t>
  </si>
  <si>
    <t>EXC.K.A-10</t>
  </si>
  <si>
    <t>EXC.K.A-11</t>
  </si>
  <si>
    <t>EXC.K.A-13</t>
  </si>
  <si>
    <t>EXC.K.A-14</t>
  </si>
  <si>
    <t>EXC.K.A-15</t>
  </si>
  <si>
    <t>EXC.K.A-16</t>
  </si>
  <si>
    <t>EXC.K.A-17</t>
  </si>
  <si>
    <t>EXC.K-01</t>
  </si>
  <si>
    <t>EXC.K-02</t>
  </si>
  <si>
    <t>EXC.K-03</t>
  </si>
  <si>
    <t>EXC.K-04</t>
  </si>
  <si>
    <t>EXC.K-05</t>
  </si>
  <si>
    <t>EXC.K-06</t>
  </si>
  <si>
    <t>EXC.K-07</t>
  </si>
  <si>
    <t>EXC.K-08</t>
  </si>
  <si>
    <t>EXC.K-09</t>
  </si>
  <si>
    <t>EXC.K-10</t>
  </si>
  <si>
    <t>EXC.K-11</t>
  </si>
  <si>
    <t>EXC.K-12</t>
  </si>
  <si>
    <t>EXC.K-13</t>
  </si>
  <si>
    <t>EXC.K-14</t>
  </si>
  <si>
    <t>EXC.K-15</t>
  </si>
  <si>
    <t>EXC.K-16</t>
  </si>
  <si>
    <t>EXC.K-17</t>
  </si>
  <si>
    <t>EXC.K-18</t>
  </si>
  <si>
    <t>EXC.K-19</t>
  </si>
  <si>
    <t>EXC.K-20</t>
  </si>
  <si>
    <t>EXC.K-21</t>
  </si>
  <si>
    <t>EXC.K-22</t>
  </si>
  <si>
    <t>EXC.K-23</t>
  </si>
  <si>
    <t>EXC.K-24</t>
  </si>
  <si>
    <t>EXC.K-25</t>
  </si>
  <si>
    <t>EXC.K-26</t>
  </si>
  <si>
    <t>EXC.K-27</t>
  </si>
  <si>
    <t>EXC.K-28</t>
  </si>
  <si>
    <t>EXC.K-29</t>
  </si>
  <si>
    <t>EXC.K-30</t>
  </si>
  <si>
    <t>EXC.K-31</t>
  </si>
  <si>
    <t>EXC.K-32</t>
  </si>
  <si>
    <t>EXC.K-33</t>
  </si>
  <si>
    <t>EXC.K-34</t>
  </si>
  <si>
    <t>EXC.K-35</t>
  </si>
  <si>
    <t>EXC.K-36</t>
  </si>
  <si>
    <t>EXC.K-37</t>
  </si>
  <si>
    <t>EXC.K-38</t>
  </si>
  <si>
    <t>EXC.K-39</t>
  </si>
  <si>
    <t>EXC.K-40</t>
  </si>
  <si>
    <t>EXC.K-41</t>
  </si>
  <si>
    <t>EXC.K-42</t>
  </si>
  <si>
    <t>EXC.K-43</t>
  </si>
  <si>
    <t>EXC.K-44</t>
  </si>
  <si>
    <t>EXC.K-45</t>
  </si>
  <si>
    <t>EXC.K-46</t>
  </si>
  <si>
    <t>EXC.K-47</t>
  </si>
  <si>
    <t>EXC.K-48</t>
  </si>
  <si>
    <t>EXC.K-49</t>
  </si>
  <si>
    <t>EXC.K-50</t>
  </si>
  <si>
    <t>EXC.K-51</t>
  </si>
  <si>
    <t>EXC.K-52</t>
  </si>
  <si>
    <t>EXC.K-53</t>
  </si>
  <si>
    <t>EXC.K-54</t>
  </si>
  <si>
    <t>EXC.K-55</t>
  </si>
  <si>
    <t>EXC.K-56</t>
  </si>
  <si>
    <t>EXC.K-57</t>
  </si>
  <si>
    <t>EXC.K-58</t>
  </si>
  <si>
    <t>EXC.K-59</t>
  </si>
  <si>
    <t>EXC.K-60</t>
  </si>
  <si>
    <t>EXC.K-61</t>
  </si>
  <si>
    <t>EXC.K-62</t>
  </si>
  <si>
    <t>EXC.K-63</t>
  </si>
  <si>
    <t>EXC.G-08</t>
  </si>
  <si>
    <t>2410129035</t>
  </si>
  <si>
    <t>12Y9783251</t>
  </si>
  <si>
    <t>3250</t>
  </si>
  <si>
    <t>1267251120</t>
  </si>
  <si>
    <t>200200249</t>
  </si>
  <si>
    <t>20Y958B560</t>
  </si>
  <si>
    <t>1615</t>
  </si>
  <si>
    <t>12Y4312422XC</t>
  </si>
  <si>
    <t>2573</t>
  </si>
  <si>
    <t>1155</t>
  </si>
  <si>
    <t>1247854130</t>
  </si>
  <si>
    <t>2310</t>
  </si>
  <si>
    <t>2076071B20</t>
  </si>
  <si>
    <t>KOMATSU ARUJA</t>
  </si>
  <si>
    <t>2647</t>
  </si>
  <si>
    <t>124Z462270</t>
  </si>
  <si>
    <t>15978</t>
  </si>
  <si>
    <t>2070471A31</t>
  </si>
  <si>
    <t>1400003485</t>
  </si>
  <si>
    <t>20Y5311M12</t>
  </si>
  <si>
    <t>141</t>
  </si>
  <si>
    <t>4239264H41</t>
  </si>
  <si>
    <t>K.A-18</t>
  </si>
  <si>
    <t>K.A-19</t>
  </si>
  <si>
    <t>K.A-20</t>
  </si>
  <si>
    <t>2247</t>
  </si>
  <si>
    <t>10054240</t>
  </si>
  <si>
    <t>1300000145</t>
  </si>
  <si>
    <t>20Y6031A40</t>
  </si>
  <si>
    <t>2328</t>
  </si>
  <si>
    <t>4210431530</t>
  </si>
  <si>
    <t>1735</t>
  </si>
  <si>
    <t>13Y9684A80</t>
  </si>
  <si>
    <t>2614</t>
  </si>
  <si>
    <t>2813511120</t>
  </si>
  <si>
    <t>1500001122</t>
  </si>
  <si>
    <t>2076071A50</t>
  </si>
  <si>
    <t>481</t>
  </si>
  <si>
    <t>2036061B70K1</t>
  </si>
  <si>
    <t>1967</t>
  </si>
  <si>
    <t>K.A-02</t>
  </si>
  <si>
    <t>NS1839202</t>
  </si>
  <si>
    <t>M-01</t>
  </si>
  <si>
    <t>M-02</t>
  </si>
  <si>
    <t>M-03</t>
  </si>
  <si>
    <t>M-04</t>
  </si>
  <si>
    <t>M-05</t>
  </si>
  <si>
    <t>M-06</t>
  </si>
  <si>
    <t>M-07</t>
  </si>
  <si>
    <t>M-08</t>
  </si>
  <si>
    <t>M-09</t>
  </si>
  <si>
    <t>M-10</t>
  </si>
  <si>
    <t>M-11</t>
  </si>
  <si>
    <t>M-12</t>
  </si>
  <si>
    <t>M-13</t>
  </si>
  <si>
    <t>M-14</t>
  </si>
  <si>
    <t>M-15</t>
  </si>
  <si>
    <t>M-16</t>
  </si>
  <si>
    <t>M-17</t>
  </si>
  <si>
    <t>M-18</t>
  </si>
  <si>
    <t>M-19</t>
  </si>
  <si>
    <t>M-20</t>
  </si>
  <si>
    <t>M-21</t>
  </si>
  <si>
    <t>M-22</t>
  </si>
  <si>
    <t>M-23</t>
  </si>
  <si>
    <t>M-24</t>
  </si>
  <si>
    <t>M-25</t>
  </si>
  <si>
    <t>M-26</t>
  </si>
  <si>
    <t>M-27</t>
  </si>
  <si>
    <t>YANMAR/AGRITECH</t>
  </si>
  <si>
    <t>2408108510</t>
  </si>
  <si>
    <t>NS1839102</t>
  </si>
  <si>
    <t>2408108509</t>
  </si>
  <si>
    <t>NS1159016</t>
  </si>
  <si>
    <t>2408108516</t>
  </si>
  <si>
    <t>NS7539202</t>
  </si>
  <si>
    <t>231228853</t>
  </si>
  <si>
    <t>22100010324</t>
  </si>
  <si>
    <t>23060012323</t>
  </si>
  <si>
    <t>240571304</t>
  </si>
  <si>
    <t>NS1139202</t>
  </si>
  <si>
    <t>2408108511</t>
  </si>
  <si>
    <t>NS9039202</t>
  </si>
  <si>
    <t>23110013348</t>
  </si>
  <si>
    <t>240571305</t>
  </si>
  <si>
    <t>NS1139102</t>
  </si>
  <si>
    <t>240571303</t>
  </si>
  <si>
    <t>231228847</t>
  </si>
  <si>
    <t>2207009345</t>
  </si>
  <si>
    <t>NS1839302</t>
  </si>
  <si>
    <t>23080012799</t>
  </si>
  <si>
    <t>23070012674</t>
  </si>
  <si>
    <t>NS9059015</t>
  </si>
  <si>
    <t>YANMAR</t>
  </si>
  <si>
    <t>23060012408</t>
  </si>
  <si>
    <t>NS1859019</t>
  </si>
  <si>
    <t>23090012986</t>
  </si>
  <si>
    <t>NS7559015</t>
  </si>
  <si>
    <t>23030012103</t>
  </si>
  <si>
    <t>BT2239200</t>
  </si>
  <si>
    <t>22120011053</t>
  </si>
  <si>
    <t>BTD2239200</t>
  </si>
  <si>
    <t>2408108515</t>
  </si>
  <si>
    <t>23010011109</t>
  </si>
  <si>
    <t>23060012322</t>
  </si>
  <si>
    <t>23090012989</t>
  </si>
  <si>
    <t>BTD33T59011</t>
  </si>
  <si>
    <t>240245777</t>
  </si>
  <si>
    <t>NS9059145</t>
  </si>
  <si>
    <t>23010011395</t>
  </si>
  <si>
    <t>2408108512</t>
  </si>
  <si>
    <t>NS5039202</t>
  </si>
  <si>
    <t>23040011834</t>
  </si>
  <si>
    <t>BTD22T59010</t>
  </si>
  <si>
    <t>1603170011</t>
  </si>
  <si>
    <t>BT3339200</t>
  </si>
  <si>
    <t>2207009255</t>
  </si>
  <si>
    <t>NS7559145</t>
  </si>
  <si>
    <t>240245779</t>
  </si>
  <si>
    <t>NS5059014</t>
  </si>
  <si>
    <t>22090010126</t>
  </si>
  <si>
    <t>YT2259011</t>
  </si>
  <si>
    <t>23100013177</t>
  </si>
  <si>
    <t>22100010326</t>
  </si>
  <si>
    <t>23090012988</t>
  </si>
  <si>
    <t>23080012709</t>
  </si>
  <si>
    <t>NS14T59140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</si>
</sst>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\ h:mm;@"/>
  </numFmts>
  <fonts count="15" x14ac:knownFonts="1">
    <font>
      <sz val="11"/>
      <color theme="1"/>
      <name val="Calibri"/>
      <family val="2"/>
      <scheme val="minor"/>
    </font>
    <font>
      <b/>
      <sz val="18"/>
      <color theme="1"/>
      <name val="Arial Black"/>
      <family val="2"/>
    </font>
    <font>
      <b/>
      <sz val="16"/>
      <color theme="1"/>
      <name val="Arial Black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1"/>
      <color theme="0"/>
      <name val="Calibri"/>
      <family val="2"/>
      <scheme val="minor"/>
    </font>
    <font>
      <b/>
      <sz val="20"/>
      <color theme="0"/>
      <name val="Arial"/>
      <family val="2"/>
    </font>
    <font>
      <sz val="8"/>
      <color rgb="FF000000"/>
      <name val="Segoe UI"/>
      <family val="2"/>
    </font>
    <font>
      <b/>
      <sz val="11"/>
      <name val="Arial"/>
    </font>
    <font>
      <sz val="11"/>
      <color rgb="FFFF0000"/>
      <name val="Calibri"/>
      <family val="2"/>
      <scheme val="minor"/>
    </font>
    <font>
      <b/>
      <sz val="18"/>
      <color rgb="FFFF0000"/>
      <name val="Arial Black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22" fontId="3" fillId="2" borderId="1" xfId="0" applyNumberFormat="1" applyFont="1" applyFill="1" applyBorder="1" applyAlignment="1">
      <alignment horizontal="center" vertical="center"/>
    </xf>
    <xf numFmtId="0" fontId="0" fillId="3" borderId="0" xfId="0" applyFill="1"/>
    <xf numFmtId="0" fontId="2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6" fillId="5" borderId="0" xfId="0" applyFont="1" applyFill="1"/>
    <xf numFmtId="164" fontId="5" fillId="0" borderId="2" xfId="0" applyNumberFormat="1" applyFont="1" applyBorder="1" applyAlignment="1">
      <alignment horizontal="center" vertical="center"/>
    </xf>
    <xf numFmtId="164" fontId="0" fillId="0" borderId="5" xfId="0" applyNumberFormat="1" applyBorder="1" applyAlignment="1">
      <alignment horizontal="left" vertical="center"/>
    </xf>
    <xf numFmtId="164" fontId="0" fillId="0" borderId="0" xfId="0" applyNumberFormat="1"/>
    <xf numFmtId="0" fontId="0" fillId="5" borderId="0" xfId="0" applyFill="1" applyAlignment="1">
      <alignment horizontal="center" vertical="center"/>
    </xf>
    <xf numFmtId="0" fontId="0" fillId="5" borderId="0" xfId="0" applyFill="1"/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0" fillId="7" borderId="0" xfId="0" applyFill="1"/>
    <xf numFmtId="0" fontId="7" fillId="7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8" fillId="7" borderId="0" xfId="0" applyFont="1" applyFill="1" applyProtection="1">
      <protection locked="0" hidden="1"/>
    </xf>
    <xf numFmtId="0" fontId="11" fillId="0" borderId="0" xfId="0" applyFont="1" applyAlignment="1">
      <alignment horizontal="left"/>
    </xf>
    <xf numFmtId="0" fontId="12" fillId="3" borderId="0" xfId="0" applyFont="1" applyFill="1"/>
    <xf numFmtId="164" fontId="5" fillId="0" borderId="8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</cellXfs>
  <cellStyles count="1"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d/m/yy\ h:mm;@"/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A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Estoqu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Ajustes!B5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904876</xdr:colOff>
      <xdr:row>8</xdr:row>
      <xdr:rowOff>19049</xdr:rowOff>
    </xdr:from>
    <xdr:to>
      <xdr:col>5</xdr:col>
      <xdr:colOff>1782366</xdr:colOff>
      <xdr:row>12</xdr:row>
      <xdr:rowOff>85725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95928D-ADD0-4B83-8768-D9744294D6BB}"/>
            </a:ext>
          </a:extLst>
        </xdr:cNvPr>
        <xdr:cNvSpPr/>
      </xdr:nvSpPr>
      <xdr:spPr>
        <a:xfrm>
          <a:off x="5838826" y="2105024"/>
          <a:ext cx="1982390" cy="828676"/>
        </a:xfrm>
        <a:prstGeom prst="roundRect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VISUALIZAR ESTOQUE</a:t>
          </a:r>
        </a:p>
      </xdr:txBody>
    </xdr:sp>
    <xdr:clientData/>
  </xdr:twoCellAnchor>
  <xdr:twoCellAnchor>
    <xdr:from>
      <xdr:col>2</xdr:col>
      <xdr:colOff>1371600</xdr:colOff>
      <xdr:row>8</xdr:row>
      <xdr:rowOff>19051</xdr:rowOff>
    </xdr:from>
    <xdr:to>
      <xdr:col>4</xdr:col>
      <xdr:colOff>361950</xdr:colOff>
      <xdr:row>12</xdr:row>
      <xdr:rowOff>95251</xdr:rowOff>
    </xdr:to>
    <xdr:sp macro="[0]!Saida_Estoqu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59B7475-EF45-4709-8679-23F6E4EF9667}"/>
            </a:ext>
          </a:extLst>
        </xdr:cNvPr>
        <xdr:cNvSpPr/>
      </xdr:nvSpPr>
      <xdr:spPr>
        <a:xfrm>
          <a:off x="3305175" y="2105026"/>
          <a:ext cx="1990725" cy="838200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/>
            <a:t>SAÍDA</a:t>
          </a:r>
        </a:p>
      </xdr:txBody>
    </xdr:sp>
    <xdr:clientData/>
  </xdr:twoCellAnchor>
  <xdr:twoCellAnchor>
    <xdr:from>
      <xdr:col>1</xdr:col>
      <xdr:colOff>476250</xdr:colOff>
      <xdr:row>8</xdr:row>
      <xdr:rowOff>9526</xdr:rowOff>
    </xdr:from>
    <xdr:to>
      <xdr:col>2</xdr:col>
      <xdr:colOff>838200</xdr:colOff>
      <xdr:row>12</xdr:row>
      <xdr:rowOff>104776</xdr:rowOff>
    </xdr:to>
    <xdr:sp macro="[0]!Entrada_Esto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FD43A-EDE2-6E4C-C007-ADCED98EC28E}"/>
            </a:ext>
          </a:extLst>
        </xdr:cNvPr>
        <xdr:cNvSpPr/>
      </xdr:nvSpPr>
      <xdr:spPr>
        <a:xfrm>
          <a:off x="762000" y="2095501"/>
          <a:ext cx="2009775" cy="857250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 b="1"/>
            <a:t>ENTRADA</a:t>
          </a:r>
        </a:p>
      </xdr:txBody>
    </xdr:sp>
    <xdr:clientData/>
  </xdr:twoCellAnchor>
  <xdr:twoCellAnchor>
    <xdr:from>
      <xdr:col>6</xdr:col>
      <xdr:colOff>371475</xdr:colOff>
      <xdr:row>3</xdr:row>
      <xdr:rowOff>9525</xdr:rowOff>
    </xdr:from>
    <xdr:to>
      <xdr:col>8</xdr:col>
      <xdr:colOff>1190</xdr:colOff>
      <xdr:row>5</xdr:row>
      <xdr:rowOff>1</xdr:rowOff>
    </xdr:to>
    <xdr:sp macro="[0]!SugerirValor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DA710D79-25CD-496E-9197-6B6C007729C1}"/>
            </a:ext>
          </a:extLst>
        </xdr:cNvPr>
        <xdr:cNvSpPr/>
      </xdr:nvSpPr>
      <xdr:spPr>
        <a:xfrm>
          <a:off x="8439150" y="704850"/>
          <a:ext cx="1982390" cy="828676"/>
        </a:xfrm>
        <a:prstGeom prst="roundRect">
          <a:avLst/>
        </a:prstGeom>
        <a:solidFill>
          <a:schemeClr val="accent4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SUGERIR</a:t>
          </a:r>
          <a:r>
            <a:rPr lang="pt-BR" sz="2000" b="1" baseline="0"/>
            <a:t> CÓDIGO</a:t>
          </a:r>
          <a:endParaRPr lang="pt-BR" sz="2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47626</xdr:rowOff>
    </xdr:from>
    <xdr:to>
      <xdr:col>0</xdr:col>
      <xdr:colOff>2657474</xdr:colOff>
      <xdr:row>3</xdr:row>
      <xdr:rowOff>226234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29E9DF7-66DF-41F7-B9C6-4BA4B05C83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47626"/>
          <a:ext cx="2590799" cy="8358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485775</xdr:colOff>
      <xdr:row>3</xdr:row>
      <xdr:rowOff>438150</xdr:rowOff>
    </xdr:from>
    <xdr:to>
      <xdr:col>0</xdr:col>
      <xdr:colOff>2219325</xdr:colOff>
      <xdr:row>4</xdr:row>
      <xdr:rowOff>428625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B5141F1-E2E4-276F-50F8-6F1C5053E7CC}"/>
            </a:ext>
          </a:extLst>
        </xdr:cNvPr>
        <xdr:cNvSpPr/>
      </xdr:nvSpPr>
      <xdr:spPr>
        <a:xfrm>
          <a:off x="485775" y="1095375"/>
          <a:ext cx="1733550" cy="66675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 Black" panose="020B0A04020102020204" pitchFamily="34" charset="0"/>
            </a:rPr>
            <a:t>VOLTAR</a:t>
          </a:r>
          <a:endParaRPr lang="pt-BR" sz="18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304800</xdr:colOff>
      <xdr:row>2</xdr:row>
      <xdr:rowOff>47625</xdr:rowOff>
    </xdr:from>
    <xdr:to>
      <xdr:col>3</xdr:col>
      <xdr:colOff>981075</xdr:colOff>
      <xdr:row>3</xdr:row>
      <xdr:rowOff>247650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97C1FC2-E5D3-1B43-1661-86AC170DD438}"/>
            </a:ext>
          </a:extLst>
        </xdr:cNvPr>
        <xdr:cNvSpPr/>
      </xdr:nvSpPr>
      <xdr:spPr>
        <a:xfrm>
          <a:off x="3057525" y="428625"/>
          <a:ext cx="4257675" cy="476250"/>
        </a:xfrm>
        <a:prstGeom prst="roundRect">
          <a:avLst>
            <a:gd name="adj" fmla="val 50000"/>
          </a:avLst>
        </a:prstGeom>
        <a:ln>
          <a:solidFill>
            <a:srgbClr val="FF5050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304804</xdr:colOff>
      <xdr:row>2</xdr:row>
      <xdr:rowOff>47625</xdr:rowOff>
    </xdr:from>
    <xdr:to>
      <xdr:col>1</xdr:col>
      <xdr:colOff>1038226</xdr:colOff>
      <xdr:row>3</xdr:row>
      <xdr:rowOff>242887</xdr:rowOff>
    </xdr:to>
    <xdr:sp macro="" textlink="">
      <xdr:nvSpPr>
        <xdr:cNvPr id="9" name="Retângulo: Cantos Superiores Arredondados 8">
          <a:extLst>
            <a:ext uri="{FF2B5EF4-FFF2-40B4-BE49-F238E27FC236}">
              <a16:creationId xmlns:a16="http://schemas.microsoft.com/office/drawing/2014/main" id="{4BB5C57C-C45C-4018-AD01-C5252189800A}"/>
            </a:ext>
          </a:extLst>
        </xdr:cNvPr>
        <xdr:cNvSpPr/>
      </xdr:nvSpPr>
      <xdr:spPr>
        <a:xfrm rot="16200000">
          <a:off x="3188496" y="297658"/>
          <a:ext cx="471487" cy="733422"/>
        </a:xfrm>
        <a:prstGeom prst="round2SameRect">
          <a:avLst>
            <a:gd name="adj1" fmla="val 50000"/>
            <a:gd name="adj2" fmla="val 0"/>
          </a:avLst>
        </a:prstGeom>
        <a:solidFill>
          <a:srgbClr val="FF5050"/>
        </a:solidFill>
        <a:ln>
          <a:solidFill>
            <a:srgbClr val="FF505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476251</xdr:colOff>
      <xdr:row>2</xdr:row>
      <xdr:rowOff>57150</xdr:rowOff>
    </xdr:from>
    <xdr:to>
      <xdr:col>1</xdr:col>
      <xdr:colOff>942975</xdr:colOff>
      <xdr:row>3</xdr:row>
      <xdr:rowOff>247649</xdr:rowOff>
    </xdr:to>
    <xdr:pic>
      <xdr:nvPicPr>
        <xdr:cNvPr id="7" name="Gráfico 6" descr="Lupa com preenchimento sólido">
          <a:extLst>
            <a:ext uri="{FF2B5EF4-FFF2-40B4-BE49-F238E27FC236}">
              <a16:creationId xmlns:a16="http://schemas.microsoft.com/office/drawing/2014/main" id="{056C50CE-4989-C407-77ED-1009BDD14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28976" y="438150"/>
          <a:ext cx="466724" cy="4667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1114425</xdr:colOff>
          <xdr:row>2</xdr:row>
          <xdr:rowOff>85725</xdr:rowOff>
        </xdr:from>
        <xdr:to>
          <xdr:col>3</xdr:col>
          <xdr:colOff>790575</xdr:colOff>
          <xdr:row>3</xdr:row>
          <xdr:rowOff>219075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1333500</xdr:colOff>
      <xdr:row>2</xdr:row>
      <xdr:rowOff>47625</xdr:rowOff>
    </xdr:from>
    <xdr:to>
      <xdr:col>5</xdr:col>
      <xdr:colOff>1476375</xdr:colOff>
      <xdr:row>3</xdr:row>
      <xdr:rowOff>247650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951EAAE4-7D08-4622-A79B-B093E98334C6}"/>
            </a:ext>
          </a:extLst>
        </xdr:cNvPr>
        <xdr:cNvSpPr/>
      </xdr:nvSpPr>
      <xdr:spPr>
        <a:xfrm>
          <a:off x="7667625" y="428625"/>
          <a:ext cx="3724275" cy="476250"/>
        </a:xfrm>
        <a:prstGeom prst="roundRect">
          <a:avLst>
            <a:gd name="adj" fmla="val 50000"/>
          </a:avLst>
        </a:prstGeom>
        <a:ln>
          <a:solidFill>
            <a:srgbClr val="FF5050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1581150</xdr:colOff>
          <xdr:row>2</xdr:row>
          <xdr:rowOff>57149</xdr:rowOff>
        </xdr:from>
        <xdr:to>
          <xdr:col>5</xdr:col>
          <xdr:colOff>1238250</xdr:colOff>
          <xdr:row>3</xdr:row>
          <xdr:rowOff>247650</xdr:rowOff>
        </xdr:to>
        <xdr:grpSp>
          <xdr:nvGrpSpPr>
            <xdr:cNvPr id="5" name="Agrupar 4">
              <a:extLst>
                <a:ext uri="{FF2B5EF4-FFF2-40B4-BE49-F238E27FC236}">
                  <a16:creationId xmlns:a16="http://schemas.microsoft.com/office/drawing/2014/main" id="{38BCB472-D03A-7E46-5142-F4D843E97441}"/>
                </a:ext>
              </a:extLst>
            </xdr:cNvPr>
            <xdr:cNvGrpSpPr/>
          </xdr:nvGrpSpPr>
          <xdr:grpSpPr>
            <a:xfrm>
              <a:off x="7923679" y="438149"/>
              <a:ext cx="3242983" cy="470648"/>
              <a:chOff x="7791444" y="438149"/>
              <a:chExt cx="3238523" cy="466726"/>
            </a:xfrm>
          </xdr:grpSpPr>
          <xdr:sp macro="" textlink="">
            <xdr:nvSpPr>
              <xdr:cNvPr id="3076" name="Option Button 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100-0000040C0000}"/>
                  </a:ext>
                </a:extLst>
              </xdr:cNvPr>
              <xdr:cNvSpPr/>
            </xdr:nvSpPr>
            <xdr:spPr bwMode="auto">
              <a:xfrm>
                <a:off x="7791444" y="438149"/>
                <a:ext cx="790575" cy="4667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Código</a:t>
                </a:r>
              </a:p>
            </xdr:txBody>
          </xdr:sp>
          <xdr:sp macro="" textlink="">
            <xdr:nvSpPr>
              <xdr:cNvPr id="3083" name="Option Button 11" hidden="1">
                <a:extLst>
                  <a:ext uri="{63B3BB69-23CF-44E3-9099-C40C66FF867C}">
                    <a14:compatExt spid="_x0000_s3083"/>
                  </a:ext>
                  <a:ext uri="{FF2B5EF4-FFF2-40B4-BE49-F238E27FC236}">
                    <a16:creationId xmlns:a16="http://schemas.microsoft.com/office/drawing/2014/main" id="{00000000-0008-0000-0100-00000B0C0000}"/>
                  </a:ext>
                </a:extLst>
              </xdr:cNvPr>
              <xdr:cNvSpPr/>
            </xdr:nvSpPr>
            <xdr:spPr bwMode="auto">
              <a:xfrm>
                <a:off x="8610600" y="438150"/>
                <a:ext cx="790575" cy="4667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OS</a:t>
                </a:r>
              </a:p>
            </xdr:txBody>
          </xdr:sp>
          <xdr:sp macro="" textlink="">
            <xdr:nvSpPr>
              <xdr:cNvPr id="3084" name="Option Button 12" hidden="1">
                <a:extLst>
                  <a:ext uri="{63B3BB69-23CF-44E3-9099-C40C66FF867C}">
                    <a14:compatExt spid="_x0000_s3084"/>
                  </a:ext>
                  <a:ext uri="{FF2B5EF4-FFF2-40B4-BE49-F238E27FC236}">
                    <a16:creationId xmlns:a16="http://schemas.microsoft.com/office/drawing/2014/main" id="{00000000-0008-0000-0100-00000C0C0000}"/>
                  </a:ext>
                </a:extLst>
              </xdr:cNvPr>
              <xdr:cNvSpPr/>
            </xdr:nvSpPr>
            <xdr:spPr bwMode="auto">
              <a:xfrm>
                <a:off x="9429750" y="438150"/>
                <a:ext cx="790575" cy="4667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Local</a:t>
                </a:r>
              </a:p>
            </xdr:txBody>
          </xdr:sp>
          <xdr:sp macro="" textlink="">
            <xdr:nvSpPr>
              <xdr:cNvPr id="3085" name="Option Button 13" hidden="1">
                <a:extLst>
                  <a:ext uri="{63B3BB69-23CF-44E3-9099-C40C66FF867C}">
                    <a14:compatExt spid="_x0000_s3085"/>
                  </a:ext>
                  <a:ext uri="{FF2B5EF4-FFF2-40B4-BE49-F238E27FC236}">
                    <a16:creationId xmlns:a16="http://schemas.microsoft.com/office/drawing/2014/main" id="{00000000-0008-0000-0100-00000D0C0000}"/>
                  </a:ext>
                </a:extLst>
              </xdr:cNvPr>
              <xdr:cNvSpPr/>
            </xdr:nvSpPr>
            <xdr:spPr bwMode="auto">
              <a:xfrm>
                <a:off x="10239392" y="438150"/>
                <a:ext cx="790575" cy="4667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Empresa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1333500</xdr:colOff>
      <xdr:row>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3B75963-D691-4152-BF6F-E6D18A20E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116" y="112059"/>
          <a:ext cx="3747809" cy="12235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39D07EE5-BB54-49B7-966B-76094D00E5BE}" autoFormatId="16" applyNumberFormats="0" applyBorderFormats="0" applyFontFormats="0" applyPatternFormats="0" applyAlignmentFormats="0" applyWidthHeightFormats="0">
  <queryTableRefresh nextId="9">
    <queryTableFields count="5">
      <queryTableField id="1" name="Código" tableColumnId="1"/>
      <queryTableField id="3" name="OS" tableColumnId="3"/>
      <queryTableField id="5" name="Estoque" tableColumnId="5"/>
      <queryTableField id="4" name="Local" tableColumnId="4"/>
      <queryTableField id="2" name="Empresa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CE0F86-4DC6-4AA6-B495-ADAD0A413EDA}" name="Subtotal" displayName="Subtotal" ref="B1:F138" tableType="queryTable" totalsRowShown="0" headerRowDxfId="21" dataDxfId="19" headerRowBorderDxfId="20" tableBorderDxfId="18" totalsRowBorderDxfId="17">
  <autoFilter ref="B1:F138" xr:uid="{5DCE0F86-4DC6-4AA6-B495-ADAD0A413EDA}"/>
  <tableColumns count="5">
    <tableColumn id="1" xr3:uid="{24530BB5-3997-44EA-9866-844EE86F897B}" uniqueName="1" name="Código" queryTableFieldId="1" dataDxfId="4"/>
    <tableColumn id="3" xr3:uid="{EC4FEC2D-F3FE-470E-B6DD-A6F4D6544164}" uniqueName="3" name="OS" queryTableFieldId="3" dataDxfId="3"/>
    <tableColumn id="5" xr3:uid="{8FF34E04-B4BA-4B64-82B0-67CF411A1388}" uniqueName="5" name="Estoque" queryTableFieldId="5" dataDxfId="2"/>
    <tableColumn id="4" xr3:uid="{98971503-7624-4662-894B-956B94AD081D}" uniqueName="4" name="Local" queryTableFieldId="4" dataDxfId="1"/>
    <tableColumn id="2" xr3:uid="{C8C42D74-54A1-4C26-B35E-C9475AACF009}" uniqueName="2" name="Empresa" queryTableFieldId="2" dataDxfId="0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599114-4004-448D-BDB8-3CDC41A6C890}" name="Rastreabilidade" displayName="Rastreabilidade" ref="A1:G145" totalsRowShown="0" headerRowDxfId="16" dataDxfId="14" headerRowBorderDxfId="15" tableBorderDxfId="13" totalsRowBorderDxfId="12">
  <autoFilter ref="A1:G145" xr:uid="{2B599114-4004-448D-BDB8-3CDC41A6C890}"/>
  <tableColumns count="7">
    <tableColumn id="1" xr3:uid="{7BFCD5E6-75D8-4135-A337-09D6E235D9E6}" name="Data e Hora" dataDxfId="11"/>
    <tableColumn id="2" xr3:uid="{4B544F2A-83E3-4D24-9EC0-DE5C4171241A}" name="Código" dataDxfId="10"/>
    <tableColumn id="3" xr3:uid="{A9575CDB-92C0-4F27-9F18-6FAB250327B5}" name="Quantidade" dataDxfId="9"/>
    <tableColumn id="4" xr3:uid="{4516DE71-C7A5-4D14-B2ED-A1C03866E0AB}" name="OS" dataDxfId="8"/>
    <tableColumn id="5" xr3:uid="{2B4F0F80-5011-4B85-BD72-E447F498C53D}" name="Local" dataDxfId="7"/>
    <tableColumn id="6" xr3:uid="{F0D33019-3F09-4935-B76F-EE8D4090D1A4}" name="Empresa" dataDxfId="6"/>
    <tableColumn id="7" xr3:uid="{D203C6A5-0014-4569-B0E6-B0BFFADECB18}" name="Entrada/Saída" dataDxfId="5">
      <calculatedColumnFormula>IF(Rastreabilidade[[#This Row],[Quantidade]]&gt;0,"Entrada",IF(Rastreabilidade[[#This Row],[Quantidade]]&lt;0,"Saída",""))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46141-59A9-4048-8889-663944844B12}">
  <sheetPr codeName="Planilha1"/>
  <dimension ref="B2:F16"/>
  <sheetViews>
    <sheetView tabSelected="1" zoomScaleNormal="100" workbookViewId="0">
      <selection activeCell="D5" sqref="D5"/>
    </sheetView>
  </sheetViews>
  <sheetFormatPr defaultColWidth="9.140625" defaultRowHeight="15" x14ac:dyDescent="0.25"/>
  <cols>
    <col min="1" max="1" width="4.28515625" style="7" customWidth="1"/>
    <col min="2" max="2" width="24.7109375" style="7" customWidth="1"/>
    <col min="3" max="3" width="27.7109375" style="7" bestFit="1" customWidth="1"/>
    <col min="4" max="4" width="20.7109375" style="7" customWidth="1"/>
    <col min="5" max="5" width="16.5703125" style="7" customWidth="1"/>
    <col min="6" max="6" width="27" style="7" customWidth="1"/>
    <col min="7" max="7" width="26.140625" style="7" customWidth="1"/>
    <col min="8" max="16384" width="9.140625" style="7"/>
  </cols>
  <sheetData>
    <row r="2" spans="2:6" ht="24.75" x14ac:dyDescent="0.25">
      <c r="B2" s="8" t="s">
        <v>2</v>
      </c>
      <c r="C2" s="6">
        <f ca="1">NOW()</f>
        <v>45600.544780902776</v>
      </c>
    </row>
    <row r="4" spans="2:6" ht="27" x14ac:dyDescent="0.25">
      <c r="B4" s="9" t="s">
        <v>590</v>
      </c>
      <c r="C4" s="9" t="s">
        <v>591</v>
      </c>
      <c r="D4" s="9" t="s">
        <v>592</v>
      </c>
      <c r="E4" s="9" t="s">
        <v>593</v>
      </c>
      <c r="F4" s="9" t="s">
        <v>0</v>
      </c>
    </row>
    <row r="5" spans="2:6" ht="39" customHeight="1" x14ac:dyDescent="0.25">
      <c r="B5" s="5"/>
      <c r="C5" s="5"/>
      <c r="D5" s="5"/>
      <c r="E5" s="5"/>
      <c r="F5" s="5"/>
    </row>
    <row r="6" spans="2:6" ht="13.5" customHeight="1" x14ac:dyDescent="0.25"/>
    <row r="16" spans="2:6" x14ac:dyDescent="0.25">
      <c r="B16" s="24" t="s">
        <v>594</v>
      </c>
    </row>
  </sheetData>
  <sheetProtection algorithmName="SHA-512" hashValue="CjDlCbjkackk22qKvUu/RYo//A68oOuBbBh9pcoJAsQUzJt5nHm3w02bxOYbLE6Iq5W0CNexUN5qMS8Le9Wypg==" saltValue="O7fFU3578LP7RKCeO/Dv6w==" spinCount="100000" sheet="1" objects="1" scenarios="1" selectLockedCells="1"/>
  <dataValidations count="1">
    <dataValidation type="list" allowBlank="1" showInputMessage="1" showErrorMessage="1" errorTitle="Falha!" error="Empresa Inexistente! Tente novamente." sqref="F5" xr:uid="{68EA5CE0-B130-4374-8278-158AF892BE1D}">
      <formula1>"AGRITECH,YANMAR,KOMATSU SUZANO,KOMATSU ARUJA,EATON,EATON CAXIAS,ZF DO BRASIL,ZF LENFORDER,FINESTAMP,GKN,HYDRAFORCE,ARITA,MIBA,PHINIA,RIBFER,RICAL,TENNECO,YANMAR/AGRITECH"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Falha!" error="Local Inexistente! Tente novamente." xr:uid="{98566020-63AE-46CC-82FF-28F30EABFC36}">
          <x14:formula1>
            <xm:f>'Locais - Exp'!$C$3:$C$609</xm:f>
          </x14:formula1>
          <xm:sqref>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FB5E3-068F-4A01-BE5F-0D36927A6C4C}">
  <sheetPr codeName="Planilha3"/>
  <dimension ref="A1:F142"/>
  <sheetViews>
    <sheetView zoomScale="85" zoomScaleNormal="85" workbookViewId="0">
      <pane ySplit="5" topLeftCell="A6" activePane="bottomLeft" state="frozen"/>
      <selection pane="bottomLeft" activeCell="A5" sqref="A5"/>
    </sheetView>
  </sheetViews>
  <sheetFormatPr defaultColWidth="9.140625" defaultRowHeight="18" x14ac:dyDescent="0.25"/>
  <cols>
    <col min="1" max="1" width="41.28515625" style="19" customWidth="1"/>
    <col min="2" max="6" width="26.85546875" style="20" customWidth="1"/>
    <col min="7" max="16384" width="9.140625" style="19"/>
  </cols>
  <sheetData>
    <row r="1" spans="1:6" ht="15" x14ac:dyDescent="0.25">
      <c r="A1" s="22" t="s">
        <v>9</v>
      </c>
      <c r="B1" s="19"/>
      <c r="C1" s="19"/>
      <c r="D1" s="19"/>
      <c r="E1" s="19"/>
      <c r="F1" s="19"/>
    </row>
    <row r="2" spans="1:6" ht="15" x14ac:dyDescent="0.25">
      <c r="A2" s="22">
        <v>1</v>
      </c>
      <c r="B2" s="19"/>
      <c r="C2" s="19"/>
      <c r="D2" s="19"/>
      <c r="E2" s="19"/>
      <c r="F2" s="19"/>
    </row>
    <row r="3" spans="1:6" ht="21.75" customHeight="1" x14ac:dyDescent="0.25">
      <c r="B3" s="19"/>
      <c r="C3" s="19"/>
      <c r="D3" s="19"/>
      <c r="E3" s="19"/>
      <c r="F3" s="19"/>
    </row>
    <row r="4" spans="1:6" ht="53.25" customHeight="1" x14ac:dyDescent="0.25">
      <c r="B4" s="19"/>
      <c r="C4" s="19"/>
      <c r="D4" s="19"/>
      <c r="E4" s="19"/>
      <c r="F4" s="19"/>
    </row>
    <row r="5" spans="1:6" ht="43.5" customHeight="1" x14ac:dyDescent="0.25">
      <c r="B5" s="21" t="s">
        <v>6</v>
      </c>
      <c r="C5" s="21" t="s">
        <v>1</v>
      </c>
      <c r="D5" s="21" t="s">
        <v>8</v>
      </c>
      <c r="E5" s="21" t="s">
        <v>7</v>
      </c>
      <c r="F5" s="21" t="s">
        <v>0</v>
      </c>
    </row>
    <row r="6" spans="1:6" x14ac:dyDescent="0.25">
      <c r="B6" s="20" t="str" cm="1">
        <f t="array" ref="B6:F142">IF(A2=1,_xlfn._xlws.FILTER(Subtotal[],ISNUMBER(FIND(UPPER(A1),Subtotal[Código])),""),IF(A2=2,_xlfn._xlws.FILTER(Subtotal[],ISNUMBER(FIND(UPPER(A1),Subtotal[OS])),""),IF(A2=3,_xlfn._xlws.FILTER(Subtotal[],ISNUMBER(FIND(UPPER(A1),Subtotal[Local])),""),_xlfn._xlws.FILTER(Subtotal[],ISNUMBER(FIND(UPPER(A1),Subtotal[Empresa])),""))))</f>
        <v>NS14T59140</v>
      </c>
      <c r="C6" s="20" t="str">
        <v>23060012322</v>
      </c>
      <c r="D6" s="20">
        <v>165</v>
      </c>
      <c r="E6" s="20" t="str">
        <v>M-13</v>
      </c>
      <c r="F6" s="20" t="str">
        <v>YANMAR/AGRITECH</v>
      </c>
    </row>
    <row r="7" spans="1:6" x14ac:dyDescent="0.25">
      <c r="B7" s="20" t="str">
        <v>NS1159016</v>
      </c>
      <c r="C7" s="20" t="str">
        <v>2408108516</v>
      </c>
      <c r="D7" s="20">
        <v>120</v>
      </c>
      <c r="E7" s="20" t="str">
        <v>M-24</v>
      </c>
      <c r="F7" s="20" t="str">
        <v>YANMAR/AGRITECH</v>
      </c>
    </row>
    <row r="8" spans="1:6" x14ac:dyDescent="0.25">
      <c r="B8" s="20" t="str">
        <v>NS1139202</v>
      </c>
      <c r="C8" s="20" t="str">
        <v>2408108511</v>
      </c>
      <c r="D8" s="20">
        <v>187</v>
      </c>
      <c r="E8" s="20" t="str">
        <v>M-02</v>
      </c>
      <c r="F8" s="20" t="str">
        <v>YANMAR/AGRITECH</v>
      </c>
    </row>
    <row r="9" spans="1:6" x14ac:dyDescent="0.25">
      <c r="B9" s="20" t="str">
        <v>YT2259011</v>
      </c>
      <c r="C9" s="20" t="str">
        <v>23080012709</v>
      </c>
      <c r="D9" s="20">
        <v>48</v>
      </c>
      <c r="E9" s="20" t="str">
        <v>M-22</v>
      </c>
      <c r="F9" s="20" t="str">
        <v>YANMAR/AGRITECH</v>
      </c>
    </row>
    <row r="10" spans="1:6" x14ac:dyDescent="0.25">
      <c r="B10" s="20" t="str">
        <v>YT2259011</v>
      </c>
      <c r="C10" s="20" t="str">
        <v>23090012988</v>
      </c>
      <c r="D10" s="20">
        <v>80</v>
      </c>
      <c r="E10" s="20" t="str">
        <v>M-22</v>
      </c>
      <c r="F10" s="20" t="str">
        <v>YANMAR/AGRITECH</v>
      </c>
    </row>
    <row r="11" spans="1:6" x14ac:dyDescent="0.25">
      <c r="B11" s="20" t="str">
        <v>YT2259011</v>
      </c>
      <c r="C11" s="20" t="str">
        <v>22100010326</v>
      </c>
      <c r="D11" s="20">
        <v>2</v>
      </c>
      <c r="E11" s="20" t="str">
        <v>M-22</v>
      </c>
      <c r="F11" s="20" t="str">
        <v>YANMAR/AGRITECH</v>
      </c>
    </row>
    <row r="12" spans="1:6" x14ac:dyDescent="0.25">
      <c r="B12" s="20" t="str">
        <v>YT2259011</v>
      </c>
      <c r="C12" s="20" t="str">
        <v>23100013177</v>
      </c>
      <c r="D12" s="20">
        <v>70</v>
      </c>
      <c r="E12" s="20" t="str">
        <v>M-22</v>
      </c>
      <c r="F12" s="20" t="str">
        <v>YANMAR/AGRITECH</v>
      </c>
    </row>
    <row r="13" spans="1:6" x14ac:dyDescent="0.25">
      <c r="B13" s="20" t="str">
        <v>NS5059014</v>
      </c>
      <c r="C13" s="20" t="str">
        <v>22090010126</v>
      </c>
      <c r="D13" s="20">
        <v>20</v>
      </c>
      <c r="E13" s="20" t="str">
        <v>M-21</v>
      </c>
      <c r="F13" s="20" t="str">
        <v>YANMAR/AGRITECH</v>
      </c>
    </row>
    <row r="14" spans="1:6" x14ac:dyDescent="0.25">
      <c r="B14" s="20" t="str">
        <v>NS7559145</v>
      </c>
      <c r="C14" s="20" t="str">
        <v>240245779</v>
      </c>
      <c r="D14" s="20">
        <v>50</v>
      </c>
      <c r="E14" s="20" t="str">
        <v>M-20</v>
      </c>
      <c r="F14" s="20" t="str">
        <v>YANMAR/AGRITECH</v>
      </c>
    </row>
    <row r="15" spans="1:6" x14ac:dyDescent="0.25">
      <c r="B15" s="20" t="str">
        <v>BT3339200</v>
      </c>
      <c r="C15" s="20" t="str">
        <v>2207009255</v>
      </c>
      <c r="D15" s="20">
        <v>20</v>
      </c>
      <c r="E15" s="20" t="str">
        <v>M-19</v>
      </c>
      <c r="F15" s="20" t="str">
        <v>YANMAR/AGRITECH</v>
      </c>
    </row>
    <row r="16" spans="1:6" x14ac:dyDescent="0.25">
      <c r="B16" s="20" t="str">
        <v>BTD22T59010</v>
      </c>
      <c r="C16" s="20" t="str">
        <v>1603170011</v>
      </c>
      <c r="D16" s="20">
        <v>5</v>
      </c>
      <c r="E16" s="20" t="str">
        <v>M-18</v>
      </c>
      <c r="F16" s="20" t="str">
        <v>AGRITECH</v>
      </c>
    </row>
    <row r="17" spans="2:6" x14ac:dyDescent="0.25">
      <c r="B17" s="20" t="str">
        <v>NS5039202</v>
      </c>
      <c r="C17" s="20" t="str">
        <v>23040011834</v>
      </c>
      <c r="D17" s="20">
        <v>89</v>
      </c>
      <c r="E17" s="20" t="str">
        <v>M-17</v>
      </c>
      <c r="F17" s="20" t="str">
        <v>YANMAR/AGRITECH</v>
      </c>
    </row>
    <row r="18" spans="2:6" x14ac:dyDescent="0.25">
      <c r="B18" s="20" t="str">
        <v>NS9059145</v>
      </c>
      <c r="C18" s="20" t="str">
        <v>2408108512</v>
      </c>
      <c r="D18" s="20">
        <v>100</v>
      </c>
      <c r="E18" s="20" t="str">
        <v>M-16</v>
      </c>
      <c r="F18" s="20" t="str">
        <v>YANMAR/AGRITECH</v>
      </c>
    </row>
    <row r="19" spans="2:6" x14ac:dyDescent="0.25">
      <c r="B19" s="20" t="str">
        <v>NS9059145</v>
      </c>
      <c r="C19" s="20" t="str">
        <v>23010011395</v>
      </c>
      <c r="D19" s="20">
        <v>5</v>
      </c>
      <c r="E19" s="20" t="str">
        <v>M-16</v>
      </c>
      <c r="F19" s="20" t="str">
        <v>YANMAR/AGRITECH</v>
      </c>
    </row>
    <row r="20" spans="2:6" x14ac:dyDescent="0.25">
      <c r="B20" s="20" t="str">
        <v>BTD33T59011</v>
      </c>
      <c r="C20" s="20" t="str">
        <v>240245777</v>
      </c>
      <c r="D20" s="20">
        <v>78</v>
      </c>
      <c r="E20" s="20" t="str">
        <v>M-14</v>
      </c>
      <c r="F20" s="20" t="str">
        <v>YANMAR/AGRITECH</v>
      </c>
    </row>
    <row r="21" spans="2:6" x14ac:dyDescent="0.25">
      <c r="B21" s="20" t="str">
        <v>NS14T59140</v>
      </c>
      <c r="C21" s="20" t="str">
        <v>23090012989</v>
      </c>
      <c r="D21" s="20">
        <v>60</v>
      </c>
      <c r="E21" s="20" t="str">
        <v>M-13</v>
      </c>
      <c r="F21" s="20" t="str">
        <v>YANMAR/AGRITECH</v>
      </c>
    </row>
    <row r="22" spans="2:6" x14ac:dyDescent="0.25">
      <c r="B22" s="20" t="str">
        <v>NS14T59140</v>
      </c>
      <c r="C22" s="20" t="str">
        <v>23010011109</v>
      </c>
      <c r="D22" s="20">
        <v>61</v>
      </c>
      <c r="E22" s="20" t="str">
        <v>M-13</v>
      </c>
      <c r="F22" s="20" t="str">
        <v>YANMAR/AGRITECH</v>
      </c>
    </row>
    <row r="23" spans="2:6" x14ac:dyDescent="0.25">
      <c r="B23" s="20" t="str">
        <v>BTD2239200</v>
      </c>
      <c r="C23" s="20" t="str">
        <v>2408108515</v>
      </c>
      <c r="D23" s="20">
        <v>50</v>
      </c>
      <c r="E23" s="20" t="str">
        <v>M-11</v>
      </c>
      <c r="F23" s="20" t="str">
        <v>YANMAR/AGRITECH</v>
      </c>
    </row>
    <row r="24" spans="2:6" x14ac:dyDescent="0.25">
      <c r="B24" s="20" t="str">
        <v>BT2239200</v>
      </c>
      <c r="C24" s="20" t="str">
        <v>22120011053</v>
      </c>
      <c r="D24" s="20">
        <v>67</v>
      </c>
      <c r="E24" s="20" t="str">
        <v>M-09</v>
      </c>
      <c r="F24" s="20" t="str">
        <v>YANMAR/AGRITECH</v>
      </c>
    </row>
    <row r="25" spans="2:6" x14ac:dyDescent="0.25">
      <c r="B25" s="20" t="str">
        <v>NS7559015</v>
      </c>
      <c r="C25" s="20" t="str">
        <v>23030012103</v>
      </c>
      <c r="D25" s="20">
        <v>58</v>
      </c>
      <c r="E25" s="20" t="str">
        <v>M-08</v>
      </c>
      <c r="F25" s="20" t="str">
        <v>YANMAR/AGRITECH</v>
      </c>
    </row>
    <row r="26" spans="2:6" x14ac:dyDescent="0.25">
      <c r="B26" s="20" t="str">
        <v>NS1859019</v>
      </c>
      <c r="C26" s="20" t="str">
        <v>23090012986</v>
      </c>
      <c r="D26" s="20">
        <v>50</v>
      </c>
      <c r="E26" s="20" t="str">
        <v>M-07</v>
      </c>
      <c r="F26" s="20" t="str">
        <v>YANMAR/AGRITECH</v>
      </c>
    </row>
    <row r="27" spans="2:6" x14ac:dyDescent="0.25">
      <c r="B27" s="20" t="str">
        <v>NS9059015</v>
      </c>
      <c r="C27" s="20" t="str">
        <v>23060012408</v>
      </c>
      <c r="D27" s="20">
        <v>51</v>
      </c>
      <c r="E27" s="20" t="str">
        <v>M-06</v>
      </c>
      <c r="F27" s="20" t="str">
        <v>YANMAR</v>
      </c>
    </row>
    <row r="28" spans="2:6" x14ac:dyDescent="0.25">
      <c r="B28" s="20" t="str">
        <v>NS1839302</v>
      </c>
      <c r="C28" s="20" t="str">
        <v>23070012674</v>
      </c>
      <c r="D28" s="20">
        <v>215</v>
      </c>
      <c r="E28" s="20" t="str">
        <v>M-05</v>
      </c>
      <c r="F28" s="20" t="str">
        <v>YANMAR/AGRITECH</v>
      </c>
    </row>
    <row r="29" spans="2:6" x14ac:dyDescent="0.25">
      <c r="B29" s="20" t="str">
        <v>NS1839302</v>
      </c>
      <c r="C29" s="20" t="str">
        <v>23080012799</v>
      </c>
      <c r="D29" s="20">
        <v>238</v>
      </c>
      <c r="E29" s="20" t="str">
        <v>M-05</v>
      </c>
      <c r="F29" s="20" t="str">
        <v>YANMAR/AGRITECH</v>
      </c>
    </row>
    <row r="30" spans="2:6" x14ac:dyDescent="0.25">
      <c r="B30" s="20" t="str">
        <v>NS1139102</v>
      </c>
      <c r="C30" s="20" t="str">
        <v>2207009345</v>
      </c>
      <c r="D30" s="20">
        <v>80</v>
      </c>
      <c r="E30" s="20" t="str">
        <v>M-04</v>
      </c>
      <c r="F30" s="20" t="str">
        <v>YANMAR/AGRITECH</v>
      </c>
    </row>
    <row r="31" spans="2:6" x14ac:dyDescent="0.25">
      <c r="B31" s="20" t="str">
        <v>NS1139102</v>
      </c>
      <c r="C31" s="20" t="str">
        <v>231228847</v>
      </c>
      <c r="D31" s="20">
        <v>99</v>
      </c>
      <c r="E31" s="20" t="str">
        <v>M-04</v>
      </c>
      <c r="F31" s="20" t="str">
        <v>YANMAR/AGRITECH</v>
      </c>
    </row>
    <row r="32" spans="2:6" x14ac:dyDescent="0.25">
      <c r="B32" s="20" t="str">
        <v>NS1139102</v>
      </c>
      <c r="C32" s="20" t="str">
        <v>240571303</v>
      </c>
      <c r="D32" s="20">
        <v>102</v>
      </c>
      <c r="E32" s="20" t="str">
        <v>M-04</v>
      </c>
      <c r="F32" s="20" t="str">
        <v>YANMAR/AGRITECH</v>
      </c>
    </row>
    <row r="33" spans="2:6" x14ac:dyDescent="0.25">
      <c r="B33" s="20" t="str">
        <v>NS9039202</v>
      </c>
      <c r="C33" s="20" t="str">
        <v>240571305</v>
      </c>
      <c r="D33" s="20">
        <v>150</v>
      </c>
      <c r="E33" s="20" t="str">
        <v>M-03</v>
      </c>
      <c r="F33" s="20" t="str">
        <v>YANMAR/AGRITECH</v>
      </c>
    </row>
    <row r="34" spans="2:6" x14ac:dyDescent="0.25">
      <c r="B34" s="20" t="str">
        <v>NS9039202</v>
      </c>
      <c r="C34" s="20" t="str">
        <v>23110013348</v>
      </c>
      <c r="D34" s="20">
        <v>50</v>
      </c>
      <c r="E34" s="20" t="str">
        <v>M-03</v>
      </c>
      <c r="F34" s="20" t="str">
        <v>YANMAR/AGRITECH</v>
      </c>
    </row>
    <row r="35" spans="2:6" x14ac:dyDescent="0.25">
      <c r="B35" s="20" t="str">
        <v>NS1839202</v>
      </c>
      <c r="C35" s="20" t="str">
        <v>240571304</v>
      </c>
      <c r="D35" s="20">
        <v>101</v>
      </c>
      <c r="E35" s="20" t="str">
        <v>M-01</v>
      </c>
      <c r="F35" s="20" t="str">
        <v>YANMAR/AGRITECH</v>
      </c>
    </row>
    <row r="36" spans="2:6" x14ac:dyDescent="0.25">
      <c r="B36" s="20" t="str">
        <v>NS1839102</v>
      </c>
      <c r="C36" s="20" t="str">
        <v>23060012323</v>
      </c>
      <c r="D36" s="20">
        <v>364</v>
      </c>
      <c r="E36" s="20" t="str">
        <v>M-26</v>
      </c>
      <c r="F36" s="20" t="str">
        <v>AGRITECH</v>
      </c>
    </row>
    <row r="37" spans="2:6" x14ac:dyDescent="0.25">
      <c r="B37" s="20" t="str">
        <v>NS7539202</v>
      </c>
      <c r="C37" s="20" t="str">
        <v>22100010324</v>
      </c>
      <c r="D37" s="20">
        <v>5</v>
      </c>
      <c r="E37" s="20" t="str">
        <v>M-25</v>
      </c>
      <c r="F37" s="20" t="str">
        <v>YANMAR/AGRITECH</v>
      </c>
    </row>
    <row r="38" spans="2:6" x14ac:dyDescent="0.25">
      <c r="B38" s="20" t="str">
        <v>NS7539202</v>
      </c>
      <c r="C38" s="20" t="str">
        <v>231228853</v>
      </c>
      <c r="D38" s="20">
        <v>150</v>
      </c>
      <c r="E38" s="20" t="str">
        <v>M-25</v>
      </c>
      <c r="F38" s="20" t="str">
        <v>YANMAR/AGRITECH</v>
      </c>
    </row>
    <row r="39" spans="2:6" x14ac:dyDescent="0.25">
      <c r="B39" s="20" t="str">
        <v>NS1839102</v>
      </c>
      <c r="C39" s="20" t="str">
        <v>2408108509</v>
      </c>
      <c r="D39" s="20">
        <v>237</v>
      </c>
      <c r="E39" s="20" t="str">
        <v>M-26</v>
      </c>
      <c r="F39" s="20" t="str">
        <v>YANMAR/AGRITECH</v>
      </c>
    </row>
    <row r="40" spans="2:6" x14ac:dyDescent="0.25">
      <c r="B40" s="20" t="str">
        <v>NS1839202</v>
      </c>
      <c r="C40" s="20" t="str">
        <v>2408108510</v>
      </c>
      <c r="D40" s="20">
        <v>200</v>
      </c>
      <c r="E40" s="20" t="str">
        <v>M-01</v>
      </c>
      <c r="F40" s="20" t="str">
        <v>YANMAR/AGRITECH</v>
      </c>
    </row>
    <row r="41" spans="2:6" x14ac:dyDescent="0.25">
      <c r="B41" s="20" t="str">
        <v>2036061B70K1</v>
      </c>
      <c r="C41" s="20" t="str">
        <v>1967</v>
      </c>
      <c r="D41" s="20">
        <v>78</v>
      </c>
      <c r="E41" s="20" t="str">
        <v>K.A-13</v>
      </c>
      <c r="F41" s="20" t="str">
        <v>KOMATSU ARUJA</v>
      </c>
    </row>
    <row r="42" spans="2:6" x14ac:dyDescent="0.25">
      <c r="B42" s="20" t="str">
        <v>2076071A50</v>
      </c>
      <c r="C42" s="20" t="str">
        <v>481</v>
      </c>
      <c r="D42" s="20">
        <v>159</v>
      </c>
      <c r="E42" s="20" t="str">
        <v>K.A-10</v>
      </c>
      <c r="F42" s="20" t="str">
        <v>KOMATSU ARUJA</v>
      </c>
    </row>
    <row r="43" spans="2:6" x14ac:dyDescent="0.25">
      <c r="B43" s="20" t="str">
        <v>2813511120</v>
      </c>
      <c r="C43" s="20" t="str">
        <v>1500001122</v>
      </c>
      <c r="D43" s="20">
        <v>7</v>
      </c>
      <c r="E43" s="20" t="str">
        <v>K.A-03</v>
      </c>
      <c r="F43" s="20" t="str">
        <v>KOMATSU ARUJA</v>
      </c>
    </row>
    <row r="44" spans="2:6" x14ac:dyDescent="0.25">
      <c r="B44" s="20" t="str">
        <v>13Y9684A80</v>
      </c>
      <c r="C44" s="20" t="str">
        <v>2614</v>
      </c>
      <c r="D44" s="20">
        <v>6</v>
      </c>
      <c r="E44" s="20" t="str">
        <v>K.A-16</v>
      </c>
      <c r="F44" s="20" t="str">
        <v>KOMATSU ARUJA</v>
      </c>
    </row>
    <row r="45" spans="2:6" x14ac:dyDescent="0.25">
      <c r="B45" s="20" t="str">
        <v>4210431530</v>
      </c>
      <c r="C45" s="20" t="str">
        <v>1735</v>
      </c>
      <c r="D45" s="20">
        <v>95</v>
      </c>
      <c r="E45" s="20" t="str">
        <v>K.A-17</v>
      </c>
      <c r="F45" s="20" t="str">
        <v>KOMATSU ARUJA</v>
      </c>
    </row>
    <row r="46" spans="2:6" x14ac:dyDescent="0.25">
      <c r="B46" s="20" t="str">
        <v>20Y6031A40</v>
      </c>
      <c r="C46" s="20" t="str">
        <v>2328</v>
      </c>
      <c r="D46" s="20">
        <v>8</v>
      </c>
      <c r="E46" s="20" t="str">
        <v>K.A-19</v>
      </c>
      <c r="F46" s="20" t="str">
        <v>KOMATSU ARUJA</v>
      </c>
    </row>
    <row r="47" spans="2:6" x14ac:dyDescent="0.25">
      <c r="B47" s="20" t="str">
        <v>10054240</v>
      </c>
      <c r="C47" s="20" t="str">
        <v>1300000145</v>
      </c>
      <c r="D47" s="20">
        <v>5</v>
      </c>
      <c r="E47" s="20" t="str">
        <v>K.A-11</v>
      </c>
      <c r="F47" s="20" t="str">
        <v>KOMATSU ARUJA</v>
      </c>
    </row>
    <row r="48" spans="2:6" x14ac:dyDescent="0.25">
      <c r="B48" s="20" t="str">
        <v>4239264H41</v>
      </c>
      <c r="C48" s="20" t="str">
        <v>2247</v>
      </c>
      <c r="D48" s="20">
        <v>8</v>
      </c>
      <c r="E48" s="20" t="str">
        <v>K.A-18</v>
      </c>
      <c r="F48" s="20" t="str">
        <v>KOMATSU ARUJA</v>
      </c>
    </row>
    <row r="49" spans="2:6" x14ac:dyDescent="0.25">
      <c r="B49" s="20" t="str">
        <v>20Y5311M12</v>
      </c>
      <c r="C49" s="20" t="str">
        <v>141</v>
      </c>
      <c r="D49" s="20">
        <v>182</v>
      </c>
      <c r="E49" s="20" t="str">
        <v>K.A-04</v>
      </c>
      <c r="F49" s="20" t="str">
        <v>KOMATSU ARUJA</v>
      </c>
    </row>
    <row r="50" spans="2:6" x14ac:dyDescent="0.25">
      <c r="B50" s="20" t="str">
        <v>2070471A31</v>
      </c>
      <c r="C50" s="20" t="str">
        <v>1400003485</v>
      </c>
      <c r="D50" s="20">
        <v>20</v>
      </c>
      <c r="E50" s="20" t="str">
        <v>K.A-15</v>
      </c>
      <c r="F50" s="20" t="str">
        <v>KOMATSU ARUJA</v>
      </c>
    </row>
    <row r="51" spans="2:6" x14ac:dyDescent="0.25">
      <c r="B51" s="20" t="str">
        <v>124Z462270</v>
      </c>
      <c r="C51" s="20" t="str">
        <v>15978</v>
      </c>
      <c r="D51" s="20">
        <v>119</v>
      </c>
      <c r="E51" s="20" t="str">
        <v>K.A-08</v>
      </c>
      <c r="F51" s="20" t="str">
        <v>KOMATSU ARUJA</v>
      </c>
    </row>
    <row r="52" spans="2:6" x14ac:dyDescent="0.25">
      <c r="B52" s="20" t="str">
        <v>2076071B20</v>
      </c>
      <c r="C52" s="20" t="str">
        <v>2647</v>
      </c>
      <c r="D52" s="20">
        <v>3</v>
      </c>
      <c r="E52" s="20" t="str">
        <v>K.A-01</v>
      </c>
      <c r="F52" s="20" t="str">
        <v>KOMATSU ARUJA</v>
      </c>
    </row>
    <row r="53" spans="2:6" x14ac:dyDescent="0.25">
      <c r="B53" s="20" t="str">
        <v>1247854130</v>
      </c>
      <c r="C53" s="20" t="str">
        <v>2310</v>
      </c>
      <c r="D53" s="20">
        <v>2</v>
      </c>
      <c r="E53" s="20" t="str">
        <v>A-129</v>
      </c>
      <c r="F53" s="20" t="str">
        <v>KOMATSU SUZANO</v>
      </c>
    </row>
    <row r="54" spans="2:6" x14ac:dyDescent="0.25">
      <c r="B54" s="20" t="str">
        <v>12Y4312422XC</v>
      </c>
      <c r="C54" s="20" t="str">
        <v>1155</v>
      </c>
      <c r="D54" s="20">
        <v>90</v>
      </c>
      <c r="E54" s="20" t="str">
        <v>A-128</v>
      </c>
      <c r="F54" s="20" t="str">
        <v>KOMATSU SUZANO</v>
      </c>
    </row>
    <row r="55" spans="2:6" x14ac:dyDescent="0.25">
      <c r="B55" s="20" t="str">
        <v>12Y4312422XC</v>
      </c>
      <c r="C55" s="20" t="str">
        <v>2573</v>
      </c>
      <c r="D55" s="20">
        <v>8</v>
      </c>
      <c r="E55" s="20" t="str">
        <v>A-127</v>
      </c>
      <c r="F55" s="20" t="str">
        <v>KOMATSU SUZANO</v>
      </c>
    </row>
    <row r="56" spans="2:6" x14ac:dyDescent="0.25">
      <c r="B56" s="20" t="str">
        <v>20Y958B560</v>
      </c>
      <c r="C56" s="20" t="str">
        <v>1615</v>
      </c>
      <c r="D56" s="20">
        <v>87</v>
      </c>
      <c r="E56" s="20" t="str">
        <v>A-122</v>
      </c>
      <c r="F56" s="20" t="str">
        <v>KOMATSU SUZANO</v>
      </c>
    </row>
    <row r="57" spans="2:6" x14ac:dyDescent="0.25">
      <c r="B57" s="20" t="str">
        <v>1267251120</v>
      </c>
      <c r="C57" s="20" t="str">
        <v>200200249</v>
      </c>
      <c r="D57" s="20">
        <v>3</v>
      </c>
      <c r="E57" s="20" t="str">
        <v>A-125</v>
      </c>
      <c r="F57" s="20" t="str">
        <v>KOMATSU SUZANO</v>
      </c>
    </row>
    <row r="58" spans="2:6" x14ac:dyDescent="0.25">
      <c r="B58" s="20" t="str">
        <v>12Y9783251</v>
      </c>
      <c r="C58" s="20" t="str">
        <v>3250</v>
      </c>
      <c r="D58" s="20">
        <v>22</v>
      </c>
      <c r="E58" s="20" t="str">
        <v>A-119</v>
      </c>
      <c r="F58" s="20" t="str">
        <v>KOMATSU SUZANO</v>
      </c>
    </row>
    <row r="59" spans="2:6" x14ac:dyDescent="0.25">
      <c r="B59" s="20" t="str">
        <v>4184338120SG</v>
      </c>
      <c r="C59" s="20" t="str">
        <v>2410129035</v>
      </c>
      <c r="D59" s="20">
        <v>300</v>
      </c>
      <c r="E59" s="20" t="str">
        <v>EXC.A-91</v>
      </c>
      <c r="F59" s="20" t="str">
        <v>KOMATSU SUZANO</v>
      </c>
    </row>
    <row r="60" spans="2:6" x14ac:dyDescent="0.25">
      <c r="B60" s="20" t="str">
        <v>12Y9783580</v>
      </c>
      <c r="C60" s="20" t="str">
        <v>2886</v>
      </c>
      <c r="D60" s="20">
        <v>130</v>
      </c>
      <c r="E60" s="20" t="str">
        <v>EXC.A-71</v>
      </c>
      <c r="F60" s="20" t="str">
        <v>KOMATSU SUZANO</v>
      </c>
    </row>
    <row r="61" spans="2:6" x14ac:dyDescent="0.25">
      <c r="B61" s="20" t="str">
        <v>2016271820</v>
      </c>
      <c r="C61" s="20" t="str">
        <v>1730</v>
      </c>
      <c r="D61" s="20">
        <v>174</v>
      </c>
      <c r="E61" s="20" t="str">
        <v>A-117</v>
      </c>
      <c r="F61" s="20" t="str">
        <v>KOMATSU SUZANO</v>
      </c>
    </row>
    <row r="62" spans="2:6" x14ac:dyDescent="0.25">
      <c r="B62" s="20" t="str">
        <v>1240161130</v>
      </c>
      <c r="C62" s="20" t="str">
        <v>15846</v>
      </c>
      <c r="D62" s="20">
        <v>180</v>
      </c>
      <c r="E62" s="20" t="str">
        <v>A-114</v>
      </c>
      <c r="F62" s="20" t="str">
        <v>KOMATSU SUZANO</v>
      </c>
    </row>
    <row r="63" spans="2:6" x14ac:dyDescent="0.25">
      <c r="B63" s="20" t="str">
        <v>11Y4312710</v>
      </c>
      <c r="C63" s="20" t="str">
        <v>3004</v>
      </c>
      <c r="D63" s="20">
        <v>90</v>
      </c>
      <c r="E63" s="20" t="str">
        <v>A-113</v>
      </c>
      <c r="F63" s="20" t="str">
        <v>KOMATSU SUZANO</v>
      </c>
    </row>
    <row r="64" spans="2:6" x14ac:dyDescent="0.25">
      <c r="B64" s="20" t="str">
        <v>11Y4312710</v>
      </c>
      <c r="C64" s="20" t="str">
        <v>2237</v>
      </c>
      <c r="D64" s="20">
        <v>58</v>
      </c>
      <c r="E64" s="20" t="str">
        <v>A-113</v>
      </c>
      <c r="F64" s="20" t="str">
        <v>KOMATSU SUZANO</v>
      </c>
    </row>
    <row r="65" spans="2:6" x14ac:dyDescent="0.25">
      <c r="B65" s="20" t="str">
        <v>23B6041240</v>
      </c>
      <c r="C65" s="20" t="str">
        <v>1500001057</v>
      </c>
      <c r="D65" s="20">
        <v>40</v>
      </c>
      <c r="E65" s="20" t="str">
        <v>A-112</v>
      </c>
      <c r="F65" s="20" t="str">
        <v>KOMATSU SUZANO</v>
      </c>
    </row>
    <row r="66" spans="2:6" x14ac:dyDescent="0.25">
      <c r="B66" s="20" t="str">
        <v>11Y6212350</v>
      </c>
      <c r="C66" s="20" t="str">
        <v>15876</v>
      </c>
      <c r="D66" s="20">
        <v>85</v>
      </c>
      <c r="E66" s="20" t="str">
        <v>A-110</v>
      </c>
      <c r="F66" s="20" t="str">
        <v>KOMATSU SUZANO</v>
      </c>
    </row>
    <row r="67" spans="2:6" x14ac:dyDescent="0.25">
      <c r="B67" s="20" t="str">
        <v>23B0771680</v>
      </c>
      <c r="C67" s="20" t="str">
        <v>15391</v>
      </c>
      <c r="D67" s="20">
        <v>119</v>
      </c>
      <c r="E67" s="20" t="str">
        <v>A-109</v>
      </c>
      <c r="F67" s="20" t="str">
        <v>KOMATSU SUZANO</v>
      </c>
    </row>
    <row r="68" spans="2:6" x14ac:dyDescent="0.25">
      <c r="B68" s="20" t="str">
        <v>2037062C60</v>
      </c>
      <c r="C68" s="20" t="str">
        <v>16067</v>
      </c>
      <c r="D68" s="20">
        <v>37</v>
      </c>
      <c r="E68" s="20" t="str">
        <v>A-108</v>
      </c>
      <c r="F68" s="20" t="str">
        <v>KOMATSU SUZANO</v>
      </c>
    </row>
    <row r="69" spans="2:6" x14ac:dyDescent="0.25">
      <c r="B69" s="20" t="str">
        <v>12Y9783241</v>
      </c>
      <c r="C69" s="20" t="str">
        <v>15770</v>
      </c>
      <c r="D69" s="20">
        <v>153</v>
      </c>
      <c r="E69" s="20" t="str">
        <v>A-107</v>
      </c>
      <c r="F69" s="20" t="str">
        <v>KOMATSU SUZANO</v>
      </c>
    </row>
    <row r="70" spans="2:6" x14ac:dyDescent="0.25">
      <c r="B70" s="20" t="str">
        <v>12Y9783561</v>
      </c>
      <c r="C70" s="20" t="str">
        <v>2611</v>
      </c>
      <c r="D70" s="20">
        <v>200</v>
      </c>
      <c r="E70" s="20" t="str">
        <v>A-105</v>
      </c>
      <c r="F70" s="20" t="str">
        <v>KOMATSU SUZANO</v>
      </c>
    </row>
    <row r="71" spans="2:6" x14ac:dyDescent="0.25">
      <c r="B71" s="20" t="str">
        <v>12Y9783561</v>
      </c>
      <c r="C71" s="20" t="str">
        <v>1609</v>
      </c>
      <c r="D71" s="20">
        <v>43</v>
      </c>
      <c r="E71" s="20" t="str">
        <v>A-104</v>
      </c>
      <c r="F71" s="20" t="str">
        <v>KOMATSU SUZANO</v>
      </c>
    </row>
    <row r="72" spans="2:6" x14ac:dyDescent="0.25">
      <c r="B72" s="20" t="str">
        <v>14X5434331</v>
      </c>
      <c r="C72" s="20" t="str">
        <v>1406300015</v>
      </c>
      <c r="D72" s="20">
        <v>2</v>
      </c>
      <c r="E72" s="20" t="str">
        <v>A-102</v>
      </c>
      <c r="F72" s="20" t="str">
        <v>KOMATSU SUZANO</v>
      </c>
    </row>
    <row r="73" spans="2:6" x14ac:dyDescent="0.25">
      <c r="B73" s="20" t="str">
        <v>1240151850</v>
      </c>
      <c r="C73" s="20" t="str">
        <v>12729</v>
      </c>
      <c r="D73" s="20">
        <v>1</v>
      </c>
      <c r="E73" s="20" t="str">
        <v>A-101</v>
      </c>
      <c r="F73" s="20" t="str">
        <v>KOMATSU SUZANO</v>
      </c>
    </row>
    <row r="74" spans="2:6" x14ac:dyDescent="0.25">
      <c r="B74" s="20" t="str">
        <v>17AZ113180</v>
      </c>
      <c r="C74" s="20" t="str">
        <v>3018</v>
      </c>
      <c r="D74" s="20">
        <v>41</v>
      </c>
      <c r="E74" s="20" t="str">
        <v>A-99</v>
      </c>
      <c r="F74" s="20" t="str">
        <v>KOMATSU SUZANO</v>
      </c>
    </row>
    <row r="75" spans="2:6" x14ac:dyDescent="0.25">
      <c r="B75" s="20" t="str">
        <v>12Y4312552XC</v>
      </c>
      <c r="C75" s="20" t="str">
        <v>1779</v>
      </c>
      <c r="D75" s="20">
        <v>90</v>
      </c>
      <c r="E75" s="20" t="str">
        <v>A-100</v>
      </c>
      <c r="F75" s="20" t="str">
        <v>KOMATSU SUZANO</v>
      </c>
    </row>
    <row r="76" spans="2:6" x14ac:dyDescent="0.25">
      <c r="B76" s="20" t="str">
        <v>12Y9783470</v>
      </c>
      <c r="C76" s="20" t="str">
        <v>3251</v>
      </c>
      <c r="D76" s="20">
        <v>24</v>
      </c>
      <c r="E76" s="20" t="str">
        <v>A-96</v>
      </c>
      <c r="F76" s="20" t="str">
        <v>KOMATSU SUZANO</v>
      </c>
    </row>
    <row r="77" spans="2:6" x14ac:dyDescent="0.25">
      <c r="B77" s="20" t="str">
        <v>2384331451</v>
      </c>
      <c r="C77" s="20" t="str">
        <v>1100001914</v>
      </c>
      <c r="D77" s="20">
        <v>24</v>
      </c>
      <c r="E77" s="20" t="str">
        <v>A-95</v>
      </c>
      <c r="F77" s="20" t="str">
        <v>KOMATSU SUZANO</v>
      </c>
    </row>
    <row r="78" spans="2:6" x14ac:dyDescent="0.25">
      <c r="B78" s="20" t="str">
        <v>12Y0112530</v>
      </c>
      <c r="C78" s="20" t="str">
        <v>15277</v>
      </c>
      <c r="D78" s="20">
        <v>75</v>
      </c>
      <c r="E78" s="20" t="str">
        <v>A-94</v>
      </c>
      <c r="F78" s="20" t="str">
        <v>KOMATSU SUZANO</v>
      </c>
    </row>
    <row r="79" spans="2:6" x14ac:dyDescent="0.25">
      <c r="B79" s="20" t="str">
        <v>23C0662150</v>
      </c>
      <c r="C79" s="20" t="str">
        <v>2239</v>
      </c>
      <c r="D79" s="20">
        <v>18</v>
      </c>
      <c r="E79" s="20" t="str">
        <v>A-93</v>
      </c>
      <c r="F79" s="20" t="str">
        <v>KOMATSU SUZANO</v>
      </c>
    </row>
    <row r="80" spans="2:6" x14ac:dyDescent="0.25">
      <c r="B80" s="20" t="str">
        <v>4184338120SG</v>
      </c>
      <c r="C80" s="20" t="str">
        <v>2408102553</v>
      </c>
      <c r="D80" s="20">
        <v>197</v>
      </c>
      <c r="E80" s="20" t="str">
        <v>A-91</v>
      </c>
      <c r="F80" s="20" t="str">
        <v>KOMATSU SUZANO</v>
      </c>
    </row>
    <row r="81" spans="2:6" x14ac:dyDescent="0.25">
      <c r="B81" s="20" t="str">
        <v>4184347980</v>
      </c>
      <c r="C81" s="20" t="str">
        <v>2303</v>
      </c>
      <c r="D81" s="20">
        <v>39</v>
      </c>
      <c r="E81" s="20" t="str">
        <v>A-90</v>
      </c>
      <c r="F81" s="20" t="str">
        <v>KOMATSU SUZANO</v>
      </c>
    </row>
    <row r="82" spans="2:6" x14ac:dyDescent="0.25">
      <c r="B82" s="20" t="str">
        <v>23B43B1120S</v>
      </c>
      <c r="C82" s="20" t="str">
        <v>1611280020</v>
      </c>
      <c r="D82" s="20">
        <v>5</v>
      </c>
      <c r="E82" s="20" t="str">
        <v>A-88</v>
      </c>
      <c r="F82" s="20" t="str">
        <v>KOMATSU SUZANO</v>
      </c>
    </row>
    <row r="83" spans="2:6" x14ac:dyDescent="0.25">
      <c r="B83" s="20" t="str">
        <v>23B6041210</v>
      </c>
      <c r="C83" s="20" t="str">
        <v>SN</v>
      </c>
      <c r="D83" s="20">
        <v>77</v>
      </c>
      <c r="E83" s="20" t="str">
        <v>A-79</v>
      </c>
      <c r="F83" s="20" t="str">
        <v>KOMATSU SUZANO</v>
      </c>
    </row>
    <row r="84" spans="2:6" x14ac:dyDescent="0.25">
      <c r="B84" s="20" t="str">
        <v>13Y6213440</v>
      </c>
      <c r="C84" s="20" t="str">
        <v>2913</v>
      </c>
      <c r="D84" s="20">
        <v>146</v>
      </c>
      <c r="E84" s="20" t="str">
        <v>A-80</v>
      </c>
      <c r="F84" s="20" t="str">
        <v>KOMATSU SUZANO</v>
      </c>
    </row>
    <row r="85" spans="2:6" x14ac:dyDescent="0.25">
      <c r="B85" s="20" t="str">
        <v>4274328660</v>
      </c>
      <c r="C85" s="20" t="str">
        <v>1488</v>
      </c>
      <c r="D85" s="20">
        <v>32</v>
      </c>
      <c r="E85" s="20" t="str">
        <v>A-78</v>
      </c>
      <c r="F85" s="20" t="str">
        <v>KOMATSU SUZANO</v>
      </c>
    </row>
    <row r="86" spans="2:6" x14ac:dyDescent="0.25">
      <c r="B86" s="20" t="str">
        <v>23B1631770</v>
      </c>
      <c r="C86" s="20" t="str">
        <v>1636</v>
      </c>
      <c r="D86" s="20">
        <v>26</v>
      </c>
      <c r="E86" s="20" t="str">
        <v>A-76</v>
      </c>
      <c r="F86" s="20" t="str">
        <v>KOMATSU SUZANO</v>
      </c>
    </row>
    <row r="87" spans="2:6" x14ac:dyDescent="0.25">
      <c r="B87" s="20" t="str">
        <v>23B5474410</v>
      </c>
      <c r="C87" s="20" t="str">
        <v>16239</v>
      </c>
      <c r="D87" s="20">
        <v>41</v>
      </c>
      <c r="E87" s="20" t="str">
        <v>A-74</v>
      </c>
      <c r="F87" s="20" t="str">
        <v>KOMATSU SUZANO</v>
      </c>
    </row>
    <row r="88" spans="2:6" x14ac:dyDescent="0.25">
      <c r="B88" s="20" t="str">
        <v>2036257730</v>
      </c>
      <c r="C88" s="20" t="str">
        <v>2296</v>
      </c>
      <c r="D88" s="20">
        <v>150</v>
      </c>
      <c r="E88" s="20" t="str">
        <v>A-85</v>
      </c>
      <c r="F88" s="20" t="str">
        <v>KOMATSU SUZANO</v>
      </c>
    </row>
    <row r="89" spans="2:6" x14ac:dyDescent="0.25">
      <c r="B89" s="20" t="str">
        <v>1244352980</v>
      </c>
      <c r="C89" s="20" t="str">
        <v>6133</v>
      </c>
      <c r="D89" s="20">
        <v>15</v>
      </c>
      <c r="E89" s="20" t="str">
        <v>A-84</v>
      </c>
      <c r="F89" s="20" t="str">
        <v>KOMATSU SUZANO</v>
      </c>
    </row>
    <row r="90" spans="2:6" x14ac:dyDescent="0.25">
      <c r="B90" s="20" t="str">
        <v>12Y0312450</v>
      </c>
      <c r="C90" s="20" t="str">
        <v>11575</v>
      </c>
      <c r="D90" s="20">
        <v>194</v>
      </c>
      <c r="E90" s="20" t="str">
        <v>A-82</v>
      </c>
      <c r="F90" s="20" t="str">
        <v>KOMATSU SUZANO</v>
      </c>
    </row>
    <row r="91" spans="2:6" x14ac:dyDescent="0.25">
      <c r="B91" s="20" t="str">
        <v>420511038</v>
      </c>
      <c r="C91" s="20" t="str">
        <v>15553</v>
      </c>
      <c r="D91" s="20">
        <v>2080</v>
      </c>
      <c r="E91" s="20" t="str">
        <v>A-72</v>
      </c>
      <c r="F91" s="20" t="str">
        <v>KOMATSU SUZANO</v>
      </c>
    </row>
    <row r="92" spans="2:6" x14ac:dyDescent="0.25">
      <c r="B92" s="20" t="str">
        <v>12Y9783580</v>
      </c>
      <c r="C92" s="20" t="str">
        <v>2886</v>
      </c>
      <c r="D92" s="20">
        <v>119</v>
      </c>
      <c r="E92" s="20" t="str">
        <v>A-71</v>
      </c>
      <c r="F92" s="20" t="str">
        <v>KOMATSU SUZANO</v>
      </c>
    </row>
    <row r="93" spans="2:6" x14ac:dyDescent="0.25">
      <c r="B93" s="20" t="str">
        <v>420511038</v>
      </c>
      <c r="C93" s="20" t="str">
        <v>14973</v>
      </c>
      <c r="D93" s="20">
        <v>316</v>
      </c>
      <c r="E93" s="20" t="str">
        <v>A-70</v>
      </c>
      <c r="F93" s="20" t="str">
        <v>KOMATSU SUZANO</v>
      </c>
    </row>
    <row r="94" spans="2:6" x14ac:dyDescent="0.25">
      <c r="B94" s="20" t="str">
        <v>8255624370</v>
      </c>
      <c r="C94" s="20" t="str">
        <v>16155</v>
      </c>
      <c r="D94" s="20">
        <v>149</v>
      </c>
      <c r="E94" s="20" t="str">
        <v>A-68</v>
      </c>
      <c r="F94" s="20" t="str">
        <v>KOMATSU SUZANO</v>
      </c>
    </row>
    <row r="95" spans="2:6" x14ac:dyDescent="0.25">
      <c r="B95" s="20" t="str">
        <v>23B43333435</v>
      </c>
      <c r="C95" s="20" t="str">
        <v>1611250019</v>
      </c>
      <c r="D95" s="20">
        <v>14</v>
      </c>
      <c r="E95" s="20" t="str">
        <v>A-67</v>
      </c>
      <c r="F95" s="20" t="str">
        <v>KOMATSU SUZANO</v>
      </c>
    </row>
    <row r="96" spans="2:6" x14ac:dyDescent="0.25">
      <c r="B96" s="20" t="str">
        <v>4198771390</v>
      </c>
      <c r="C96" s="20" t="str">
        <v>10997</v>
      </c>
      <c r="D96" s="20">
        <v>302</v>
      </c>
      <c r="E96" s="20" t="str">
        <v>A-69</v>
      </c>
      <c r="F96" s="20" t="str">
        <v>KOMATSU SUZANO</v>
      </c>
    </row>
    <row r="97" spans="2:6" x14ac:dyDescent="0.25">
      <c r="B97" s="20" t="str">
        <v>417S624920</v>
      </c>
      <c r="C97" s="20" t="str">
        <v>15875</v>
      </c>
      <c r="D97" s="20">
        <v>275</v>
      </c>
      <c r="E97" s="20" t="str">
        <v>A-66</v>
      </c>
      <c r="F97" s="20" t="str">
        <v>KOMATSU SUZANO</v>
      </c>
    </row>
    <row r="98" spans="2:6" x14ac:dyDescent="0.25">
      <c r="B98" s="20" t="str">
        <v>421020624</v>
      </c>
      <c r="C98" s="20" t="str">
        <v>10020</v>
      </c>
      <c r="D98" s="20">
        <v>306</v>
      </c>
      <c r="E98" s="20" t="str">
        <v>A-63</v>
      </c>
      <c r="F98" s="20" t="str">
        <v>KOMATSU SUZANO</v>
      </c>
    </row>
    <row r="99" spans="2:6" x14ac:dyDescent="0.25">
      <c r="B99" s="20" t="str">
        <v>420510630</v>
      </c>
      <c r="C99" s="20" t="str">
        <v>15634</v>
      </c>
      <c r="D99" s="20">
        <v>737</v>
      </c>
      <c r="E99" s="20" t="str">
        <v>A-60</v>
      </c>
      <c r="F99" s="20" t="str">
        <v>KOMATSU SUZANO</v>
      </c>
    </row>
    <row r="100" spans="2:6" x14ac:dyDescent="0.25">
      <c r="B100" s="20" t="str">
        <v>420510630</v>
      </c>
      <c r="C100" s="20" t="str">
        <v>14445</v>
      </c>
      <c r="D100" s="20">
        <v>314</v>
      </c>
      <c r="E100" s="20" t="str">
        <v>A-60</v>
      </c>
      <c r="F100" s="20" t="str">
        <v>KOMATSU SUZANO</v>
      </c>
    </row>
    <row r="101" spans="2:6" x14ac:dyDescent="0.25">
      <c r="B101" s="20" t="str">
        <v>23D2711940</v>
      </c>
      <c r="C101" s="20" t="str">
        <v>16002</v>
      </c>
      <c r="D101" s="20">
        <v>27</v>
      </c>
      <c r="E101" s="20" t="str">
        <v>A-58</v>
      </c>
      <c r="F101" s="20" t="str">
        <v>KOMATSU SUZANO</v>
      </c>
    </row>
    <row r="102" spans="2:6" x14ac:dyDescent="0.25">
      <c r="B102" s="20" t="str">
        <v>4193311460</v>
      </c>
      <c r="C102" s="20" t="str">
        <v>2021</v>
      </c>
      <c r="D102" s="20">
        <v>561</v>
      </c>
      <c r="E102" s="20" t="str">
        <v>A-57</v>
      </c>
      <c r="F102" s="20" t="str">
        <v>KOMATSU SUZANO</v>
      </c>
    </row>
    <row r="103" spans="2:6" x14ac:dyDescent="0.25">
      <c r="B103" s="20" t="str">
        <v>4196231712</v>
      </c>
      <c r="C103" s="20" t="str">
        <v>342</v>
      </c>
      <c r="D103" s="20">
        <v>195</v>
      </c>
      <c r="E103" s="20" t="str">
        <v>A-56</v>
      </c>
      <c r="F103" s="20" t="str">
        <v>KOMATSU SUZANO</v>
      </c>
    </row>
    <row r="104" spans="2:6" x14ac:dyDescent="0.25">
      <c r="B104" s="20" t="str">
        <v>195011640</v>
      </c>
      <c r="C104" s="20" t="str">
        <v>10156</v>
      </c>
      <c r="D104" s="20">
        <v>100</v>
      </c>
      <c r="E104" s="20" t="str">
        <v>A-54</v>
      </c>
      <c r="F104" s="20" t="str">
        <v>KOMATSU SUZANO</v>
      </c>
    </row>
    <row r="105" spans="2:6" x14ac:dyDescent="0.25">
      <c r="B105" s="20" t="str">
        <v>1950116140</v>
      </c>
      <c r="C105" s="20" t="str">
        <v>9306</v>
      </c>
      <c r="D105" s="20">
        <v>159</v>
      </c>
      <c r="E105" s="20" t="str">
        <v>A-54</v>
      </c>
      <c r="F105" s="20" t="str">
        <v>KOMATSU SUZANO</v>
      </c>
    </row>
    <row r="106" spans="2:6" x14ac:dyDescent="0.25">
      <c r="B106" s="20" t="str">
        <v>278100311</v>
      </c>
      <c r="C106" s="20" t="str">
        <v>3855</v>
      </c>
      <c r="D106" s="20">
        <v>79</v>
      </c>
      <c r="E106" s="20" t="str">
        <v>A-53</v>
      </c>
      <c r="F106" s="20" t="str">
        <v>KOMATSU SUZANO</v>
      </c>
    </row>
    <row r="107" spans="2:6" x14ac:dyDescent="0.25">
      <c r="B107" s="20" t="str">
        <v>41706B1830</v>
      </c>
      <c r="C107" s="20" t="str">
        <v>13464</v>
      </c>
      <c r="D107" s="20">
        <v>407</v>
      </c>
      <c r="E107" s="20" t="str">
        <v>A-52</v>
      </c>
      <c r="F107" s="20" t="str">
        <v>KOMATSU SUZANO</v>
      </c>
    </row>
    <row r="108" spans="2:6" x14ac:dyDescent="0.25">
      <c r="B108" s="20" t="str">
        <v>4164337420</v>
      </c>
      <c r="C108" s="20" t="str">
        <v>2921</v>
      </c>
      <c r="D108" s="20">
        <v>300</v>
      </c>
      <c r="E108" s="20" t="str">
        <v>A-51</v>
      </c>
      <c r="F108" s="20" t="str">
        <v>KOMATSU SUZANO</v>
      </c>
    </row>
    <row r="109" spans="2:6" x14ac:dyDescent="0.25">
      <c r="B109" s="20" t="str">
        <v>4164337420</v>
      </c>
      <c r="C109" s="20" t="str">
        <v>2301</v>
      </c>
      <c r="D109" s="20">
        <v>4</v>
      </c>
      <c r="E109" s="20" t="str">
        <v>A-50</v>
      </c>
      <c r="F109" s="20" t="str">
        <v>KOMATSU SUZANO</v>
      </c>
    </row>
    <row r="110" spans="2:6" x14ac:dyDescent="0.25">
      <c r="B110" s="20" t="str">
        <v>418433761</v>
      </c>
      <c r="C110" s="20" t="str">
        <v>967</v>
      </c>
      <c r="D110" s="20">
        <v>300</v>
      </c>
      <c r="E110" s="20" t="str">
        <v>A-49</v>
      </c>
      <c r="F110" s="20" t="str">
        <v>KOMATSU SUZANO</v>
      </c>
    </row>
    <row r="111" spans="2:6" x14ac:dyDescent="0.25">
      <c r="B111" s="20" t="str">
        <v>4184337161</v>
      </c>
      <c r="C111" s="20" t="str">
        <v>967</v>
      </c>
      <c r="D111" s="20">
        <v>100</v>
      </c>
      <c r="E111" s="20" t="str">
        <v>A-48</v>
      </c>
      <c r="F111" s="20" t="str">
        <v>KOMATSU SUZANO</v>
      </c>
    </row>
    <row r="112" spans="2:6" x14ac:dyDescent="0.25">
      <c r="B112" s="20" t="str">
        <v>4184337161</v>
      </c>
      <c r="C112" s="20" t="str">
        <v>136</v>
      </c>
      <c r="D112" s="20">
        <v>129</v>
      </c>
      <c r="E112" s="20" t="str">
        <v>A-47</v>
      </c>
      <c r="F112" s="20" t="str">
        <v>KOMATSU SUZANO</v>
      </c>
    </row>
    <row r="113" spans="2:6" x14ac:dyDescent="0.25">
      <c r="B113" s="20" t="str">
        <v>12Y9783571</v>
      </c>
      <c r="C113" s="20" t="str">
        <v>2612</v>
      </c>
      <c r="D113" s="20">
        <v>194</v>
      </c>
      <c r="E113" s="20" t="str">
        <v>A-34</v>
      </c>
      <c r="F113" s="20" t="str">
        <v>KOMATSU SUZANO</v>
      </c>
    </row>
    <row r="114" spans="2:6" x14ac:dyDescent="0.25">
      <c r="B114" s="20" t="str">
        <v>737310600</v>
      </c>
      <c r="C114" s="20" t="str">
        <v>587</v>
      </c>
      <c r="D114" s="20">
        <v>35</v>
      </c>
      <c r="E114" s="20" t="str">
        <v>A-46</v>
      </c>
      <c r="F114" s="20" t="str">
        <v>KOMATSU SUZANO</v>
      </c>
    </row>
    <row r="115" spans="2:6" x14ac:dyDescent="0.25">
      <c r="B115" s="20" t="str">
        <v>4176231110</v>
      </c>
      <c r="C115" s="20" t="str">
        <v>1640</v>
      </c>
      <c r="D115" s="20">
        <v>258</v>
      </c>
      <c r="E115" s="20" t="str">
        <v>A-45</v>
      </c>
      <c r="F115" s="20" t="str">
        <v>KOMATSU SUZANO</v>
      </c>
    </row>
    <row r="116" spans="2:6" x14ac:dyDescent="0.25">
      <c r="B116" s="20" t="str">
        <v>2030151120</v>
      </c>
      <c r="C116" s="20" t="str">
        <v>16586</v>
      </c>
      <c r="D116" s="20">
        <v>186</v>
      </c>
      <c r="E116" s="20" t="str">
        <v>A-44</v>
      </c>
      <c r="F116" s="20" t="str">
        <v>KOMATSU SUZANO</v>
      </c>
    </row>
    <row r="117" spans="2:6" x14ac:dyDescent="0.25">
      <c r="B117" s="20" t="str">
        <v>23B4335451</v>
      </c>
      <c r="C117" s="20" t="str">
        <v>SN</v>
      </c>
      <c r="D117" s="20">
        <v>6</v>
      </c>
      <c r="E117" s="20" t="str">
        <v>A-37</v>
      </c>
      <c r="F117" s="20" t="str">
        <v>KOMATSU SUZANO</v>
      </c>
    </row>
    <row r="118" spans="2:6" x14ac:dyDescent="0.25">
      <c r="B118" s="20" t="str">
        <v>20Y4323470</v>
      </c>
      <c r="C118" s="20" t="str">
        <v>1200001587</v>
      </c>
      <c r="D118" s="20">
        <v>4</v>
      </c>
      <c r="E118" s="20" t="str">
        <v>A-38</v>
      </c>
      <c r="F118" s="20" t="str">
        <v>KOMATSU SUZANO</v>
      </c>
    </row>
    <row r="119" spans="2:6" x14ac:dyDescent="0.25">
      <c r="B119" s="20" t="str">
        <v>23B2711340</v>
      </c>
      <c r="C119" s="20" t="str">
        <v>261</v>
      </c>
      <c r="D119" s="20">
        <v>93</v>
      </c>
      <c r="E119" s="20" t="str">
        <v>A-40</v>
      </c>
      <c r="F119" s="20" t="str">
        <v>KOMATSU SUZANO</v>
      </c>
    </row>
    <row r="120" spans="2:6" x14ac:dyDescent="0.25">
      <c r="B120" s="20" t="str">
        <v>20Y0361750</v>
      </c>
      <c r="C120" s="20" t="str">
        <v>267</v>
      </c>
      <c r="D120" s="20">
        <v>34</v>
      </c>
      <c r="E120" s="20" t="str">
        <v>A-39</v>
      </c>
      <c r="F120" s="20" t="str">
        <v>KOMATSU SUZANO</v>
      </c>
    </row>
    <row r="121" spans="2:6" x14ac:dyDescent="0.25">
      <c r="B121" s="20" t="str">
        <v>21K0172220</v>
      </c>
      <c r="C121" s="20" t="str">
        <v>1616</v>
      </c>
      <c r="D121" s="20">
        <v>194</v>
      </c>
      <c r="E121" s="20" t="str">
        <v>A-43</v>
      </c>
      <c r="F121" s="20" t="str">
        <v>KOMATSU SUZANO</v>
      </c>
    </row>
    <row r="122" spans="2:6" x14ac:dyDescent="0.25">
      <c r="B122" s="20" t="str">
        <v>4179263160</v>
      </c>
      <c r="C122" s="20" t="str">
        <v>2713</v>
      </c>
      <c r="D122" s="20">
        <v>239</v>
      </c>
      <c r="E122" s="20" t="str">
        <v>A-42</v>
      </c>
      <c r="F122" s="20" t="str">
        <v>KOMATSU SUZANO</v>
      </c>
    </row>
    <row r="123" spans="2:6" x14ac:dyDescent="0.25">
      <c r="B123" s="20" t="str">
        <v>23B6041190</v>
      </c>
      <c r="C123" s="20" t="str">
        <v>1500001505</v>
      </c>
      <c r="D123" s="20">
        <v>10</v>
      </c>
      <c r="E123" s="20" t="str">
        <v>A-33</v>
      </c>
      <c r="F123" s="20" t="str">
        <v>KOMATSU SUZANO</v>
      </c>
    </row>
    <row r="124" spans="2:6" x14ac:dyDescent="0.25">
      <c r="B124" s="20" t="str">
        <v>41962B1590</v>
      </c>
      <c r="C124" s="20" t="str">
        <v>2922</v>
      </c>
      <c r="D124" s="20">
        <v>27</v>
      </c>
      <c r="E124" s="20" t="str">
        <v>A-32</v>
      </c>
      <c r="F124" s="20" t="str">
        <v>KOMATSU SUZANO</v>
      </c>
    </row>
    <row r="125" spans="2:6" x14ac:dyDescent="0.25">
      <c r="B125" s="20" t="str">
        <v>21W6242470</v>
      </c>
      <c r="C125" s="20" t="str">
        <v>1200003891</v>
      </c>
      <c r="D125" s="20">
        <v>79</v>
      </c>
      <c r="E125" s="20" t="str">
        <v>A-35</v>
      </c>
      <c r="F125" s="20" t="str">
        <v>KOMATSU SUZANO</v>
      </c>
    </row>
    <row r="126" spans="2:6" x14ac:dyDescent="0.25">
      <c r="B126" s="20" t="str">
        <v>2059792350</v>
      </c>
      <c r="C126" s="20" t="str">
        <v>1613</v>
      </c>
      <c r="D126" s="20">
        <v>165</v>
      </c>
      <c r="E126" s="20" t="str">
        <v>A-36</v>
      </c>
      <c r="F126" s="20" t="str">
        <v>KOMATSU SUZANO</v>
      </c>
    </row>
    <row r="127" spans="2:6" x14ac:dyDescent="0.25">
      <c r="B127" s="20" t="str">
        <v>23B6041250</v>
      </c>
      <c r="C127" s="20" t="str">
        <v>1300003427</v>
      </c>
      <c r="D127" s="20">
        <v>9</v>
      </c>
      <c r="E127" s="20" t="str">
        <v>A-31</v>
      </c>
      <c r="F127" s="20" t="str">
        <v>KOMATSU SUZANO</v>
      </c>
    </row>
    <row r="128" spans="2:6" x14ac:dyDescent="0.25">
      <c r="B128" s="20" t="str">
        <v>1340173170</v>
      </c>
      <c r="C128" s="20" t="str">
        <v>1300001708</v>
      </c>
      <c r="D128" s="20">
        <v>107</v>
      </c>
      <c r="E128" s="20" t="str">
        <v>A-28</v>
      </c>
      <c r="F128" s="20" t="str">
        <v>KOMATSU SUZANO</v>
      </c>
    </row>
    <row r="129" spans="2:6" x14ac:dyDescent="0.25">
      <c r="B129" s="20" t="str">
        <v>4A204B1030</v>
      </c>
      <c r="C129" s="20" t="str">
        <v>1768</v>
      </c>
      <c r="D129" s="20">
        <v>8</v>
      </c>
      <c r="E129" s="20" t="str">
        <v>A-27</v>
      </c>
      <c r="F129" s="20" t="str">
        <v>KOMATSU SUZANO</v>
      </c>
    </row>
    <row r="130" spans="2:6" x14ac:dyDescent="0.25">
      <c r="B130" s="20" t="str">
        <v>4184338131</v>
      </c>
      <c r="C130" s="20" t="str">
        <v>1235</v>
      </c>
      <c r="D130" s="20">
        <v>63</v>
      </c>
      <c r="E130" s="20" t="str">
        <v>A-25</v>
      </c>
      <c r="F130" s="20" t="str">
        <v>KOMATSU SUZANO</v>
      </c>
    </row>
    <row r="131" spans="2:6" x14ac:dyDescent="0.25">
      <c r="B131" s="20" t="str">
        <v>23B6041260</v>
      </c>
      <c r="C131" s="20" t="str">
        <v>1406</v>
      </c>
      <c r="D131" s="20">
        <v>41</v>
      </c>
      <c r="E131" s="20" t="str">
        <v>A-15</v>
      </c>
      <c r="F131" s="20" t="str">
        <v>KOMATSU SUZANO</v>
      </c>
    </row>
    <row r="132" spans="2:6" x14ac:dyDescent="0.25">
      <c r="B132" s="20" t="str">
        <v>4176231120</v>
      </c>
      <c r="C132" s="20" t="str">
        <v>2302</v>
      </c>
      <c r="D132" s="20">
        <v>146</v>
      </c>
      <c r="E132" s="20" t="str">
        <v>A-18</v>
      </c>
      <c r="F132" s="20" t="str">
        <v>KOMATSU SUZANO</v>
      </c>
    </row>
    <row r="133" spans="2:6" x14ac:dyDescent="0.25">
      <c r="B133" s="20" t="str">
        <v>4194337870</v>
      </c>
      <c r="C133" s="20" t="str">
        <v>1642</v>
      </c>
      <c r="D133" s="20">
        <v>8</v>
      </c>
      <c r="E133" s="20" t="str">
        <v>A-16</v>
      </c>
      <c r="F133" s="20" t="str">
        <v>KOMATSU SUZANO</v>
      </c>
    </row>
    <row r="134" spans="2:6" x14ac:dyDescent="0.25">
      <c r="B134" s="20" t="str">
        <v>42051061</v>
      </c>
      <c r="C134" s="20" t="str">
        <v>1300004666</v>
      </c>
      <c r="D134" s="20">
        <v>451</v>
      </c>
      <c r="E134" s="20" t="str">
        <v>A-14</v>
      </c>
      <c r="F134" s="20" t="str">
        <v>KOMATSU SUZANO</v>
      </c>
    </row>
    <row r="135" spans="2:6" x14ac:dyDescent="0.25">
      <c r="B135" s="20" t="str">
        <v>21J5416190</v>
      </c>
      <c r="C135" s="20" t="str">
        <v>2855</v>
      </c>
      <c r="D135" s="20">
        <v>88</v>
      </c>
      <c r="E135" s="20" t="str">
        <v>A-24</v>
      </c>
      <c r="F135" s="20" t="str">
        <v>KOMATSU SUZANO</v>
      </c>
    </row>
    <row r="136" spans="2:6" x14ac:dyDescent="0.25">
      <c r="B136" s="20" t="str">
        <v>2089797540</v>
      </c>
      <c r="C136" s="20" t="str">
        <v>2307</v>
      </c>
      <c r="D136" s="20">
        <v>977</v>
      </c>
      <c r="E136" s="20" t="str">
        <v>A-22</v>
      </c>
      <c r="F136" s="20" t="str">
        <v>KOMATSU SUZANO</v>
      </c>
    </row>
    <row r="137" spans="2:6" x14ac:dyDescent="0.25">
      <c r="B137" s="20" t="str">
        <v>13Y6212860</v>
      </c>
      <c r="C137" s="20" t="str">
        <v>2912</v>
      </c>
      <c r="D137" s="20">
        <v>140</v>
      </c>
      <c r="E137" s="20" t="str">
        <v>A-21</v>
      </c>
      <c r="F137" s="20" t="str">
        <v>KOMATSU SUZANO</v>
      </c>
    </row>
    <row r="138" spans="2:6" x14ac:dyDescent="0.25">
      <c r="B138" s="20" t="str">
        <v>1247251540</v>
      </c>
      <c r="C138" s="20" t="str">
        <v>3246</v>
      </c>
      <c r="D138" s="20">
        <v>63</v>
      </c>
      <c r="E138" s="20" t="str">
        <v>A-07</v>
      </c>
      <c r="F138" s="20" t="str">
        <v>KOMATSU SUZANO</v>
      </c>
    </row>
    <row r="139" spans="2:6" x14ac:dyDescent="0.25">
      <c r="B139" s="20" t="str">
        <v>23B6071341</v>
      </c>
      <c r="C139" s="20" t="str">
        <v>2955</v>
      </c>
      <c r="D139" s="20">
        <v>1</v>
      </c>
      <c r="E139" s="20" t="str">
        <v>A-06</v>
      </c>
      <c r="F139" s="20" t="str">
        <v>KOMATSU SUZANO</v>
      </c>
    </row>
    <row r="140" spans="2:6" x14ac:dyDescent="0.25">
      <c r="B140" s="20" t="str">
        <v>4176214130</v>
      </c>
      <c r="C140" s="20" t="str">
        <v>14777</v>
      </c>
      <c r="D140" s="20">
        <v>584</v>
      </c>
      <c r="E140" s="20" t="str">
        <v>A-20</v>
      </c>
      <c r="F140" s="20" t="str">
        <v>KOMATSU SUZANO</v>
      </c>
    </row>
    <row r="141" spans="2:6" x14ac:dyDescent="0.25">
      <c r="B141" s="20" t="str">
        <v>23B4331380</v>
      </c>
      <c r="C141" s="20" t="str">
        <v>1400003153</v>
      </c>
      <c r="D141" s="20">
        <v>5</v>
      </c>
      <c r="E141" s="20" t="str">
        <v>A-04</v>
      </c>
      <c r="F141" s="20" t="str">
        <v>KOMATSU SUZANO</v>
      </c>
    </row>
    <row r="142" spans="2:6" x14ac:dyDescent="0.25">
      <c r="B142" s="20" t="str">
        <v>4184338311NZ</v>
      </c>
      <c r="C142" s="20" t="str">
        <v>11812</v>
      </c>
      <c r="D142" s="20">
        <v>74</v>
      </c>
      <c r="E142" s="20" t="str">
        <v>A-01</v>
      </c>
      <c r="F142" s="20" t="str">
        <v>KOMATSU SUZANO</v>
      </c>
    </row>
  </sheetData>
  <sheetProtection algorithmName="SHA-512" hashValue="vk9Ho8MLANAAgtgQcdbt6ZRfL2VMj+YIWgjfXq3rXVGKpytSeum4NKcJ407BxPNyetAkHyfNbCLPkoBEkHmmDg==" saltValue="mB8CtwEzTw2nTQIrLqekkg==" spinCount="100000" sheet="1" objects="1" scenarios="1" sort="0" autoFilter="0"/>
  <autoFilter ref="B5:F5" xr:uid="{378FB5E3-068F-4A01-BE5F-0D36927A6C4C}"/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3073" r:id="rId4" name="TextBox1">
          <controlPr defaultSize="0" autoLine="0" linkedCell="A1" r:id="rId5">
            <anchor moveWithCells="1">
              <from>
                <xdr:col>1</xdr:col>
                <xdr:colOff>1114425</xdr:colOff>
                <xdr:row>2</xdr:row>
                <xdr:rowOff>85725</xdr:rowOff>
              </from>
              <to>
                <xdr:col>3</xdr:col>
                <xdr:colOff>790575</xdr:colOff>
                <xdr:row>3</xdr:row>
                <xdr:rowOff>219075</xdr:rowOff>
              </to>
            </anchor>
          </controlPr>
        </control>
      </mc:Choice>
      <mc:Fallback>
        <control shapeId="3073" r:id="rId4" name="TextBox1"/>
      </mc:Fallback>
    </mc:AlternateContent>
    <mc:AlternateContent xmlns:mc="http://schemas.openxmlformats.org/markup-compatibility/2006">
      <mc:Choice Requires="x14">
        <control shapeId="3076" r:id="rId6" name="Option Button 4">
          <controlPr locked="0" defaultSize="0" autoFill="0" autoLine="0" autoPict="0">
            <anchor moveWithCells="1">
              <from>
                <xdr:col>3</xdr:col>
                <xdr:colOff>1581150</xdr:colOff>
                <xdr:row>2</xdr:row>
                <xdr:rowOff>57150</xdr:rowOff>
              </from>
              <to>
                <xdr:col>4</xdr:col>
                <xdr:colOff>581025</xdr:colOff>
                <xdr:row>3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3" r:id="rId7" name="Option Button 11">
          <controlPr locked="0" defaultSize="0" autoFill="0" autoLine="0" autoPict="0">
            <anchor moveWithCells="1">
              <from>
                <xdr:col>4</xdr:col>
                <xdr:colOff>609600</xdr:colOff>
                <xdr:row>2</xdr:row>
                <xdr:rowOff>57150</xdr:rowOff>
              </from>
              <to>
                <xdr:col>4</xdr:col>
                <xdr:colOff>1400175</xdr:colOff>
                <xdr:row>3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8" name="Option Button 12">
          <controlPr locked="0" defaultSize="0" autoFill="0" autoLine="0" autoPict="0">
            <anchor moveWithCells="1">
              <from>
                <xdr:col>4</xdr:col>
                <xdr:colOff>1428750</xdr:colOff>
                <xdr:row>2</xdr:row>
                <xdr:rowOff>57150</xdr:rowOff>
              </from>
              <to>
                <xdr:col>5</xdr:col>
                <xdr:colOff>428625</xdr:colOff>
                <xdr:row>3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9" name="Option Button 13">
          <controlPr locked="0" defaultSize="0" autoFill="0" autoLine="0" autoPict="0">
            <anchor moveWithCells="1">
              <from>
                <xdr:col>5</xdr:col>
                <xdr:colOff>447675</xdr:colOff>
                <xdr:row>2</xdr:row>
                <xdr:rowOff>57150</xdr:rowOff>
              </from>
              <to>
                <xdr:col>5</xdr:col>
                <xdr:colOff>1238250</xdr:colOff>
                <xdr:row>3</xdr:row>
                <xdr:rowOff>247650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6D00F-425A-4EA8-9533-D530029EFDF9}">
  <sheetPr codeName="Planilha4"/>
  <dimension ref="B1:F138"/>
  <sheetViews>
    <sheetView zoomScaleNormal="100" workbookViewId="0">
      <pane ySplit="1" topLeftCell="A2" activePane="bottomLeft" state="frozen"/>
      <selection pane="bottomLeft" activeCell="F6" sqref="F6"/>
    </sheetView>
  </sheetViews>
  <sheetFormatPr defaultColWidth="9.140625" defaultRowHeight="15" x14ac:dyDescent="0.25"/>
  <cols>
    <col min="1" max="1" width="12.28515625" style="15" customWidth="1"/>
    <col min="2" max="2" width="17.7109375" style="14" bestFit="1" customWidth="1"/>
    <col min="3" max="3" width="15.5703125" style="14" bestFit="1" customWidth="1"/>
    <col min="4" max="4" width="16.85546875" style="14" bestFit="1" customWidth="1"/>
    <col min="5" max="5" width="13.140625" style="14" bestFit="1" customWidth="1"/>
    <col min="6" max="6" width="23.140625" style="14" bestFit="1" customWidth="1"/>
    <col min="7" max="7" width="10.5703125" style="15" customWidth="1"/>
    <col min="8" max="16384" width="9.140625" style="15"/>
  </cols>
  <sheetData>
    <row r="1" spans="2:6" s="10" customFormat="1" ht="20.25" x14ac:dyDescent="0.3">
      <c r="B1" s="16" t="s">
        <v>6</v>
      </c>
      <c r="C1" s="17" t="s">
        <v>1</v>
      </c>
      <c r="D1" s="18" t="s">
        <v>8</v>
      </c>
      <c r="E1" s="17" t="s">
        <v>7</v>
      </c>
      <c r="F1" s="17" t="s">
        <v>0</v>
      </c>
    </row>
    <row r="2" spans="2:6" s="10" customFormat="1" ht="20.25" x14ac:dyDescent="0.3">
      <c r="B2" s="28" t="s">
        <v>1167</v>
      </c>
      <c r="C2" s="26" t="s">
        <v>1145</v>
      </c>
      <c r="D2" s="27">
        <v>165</v>
      </c>
      <c r="E2" s="26" t="s">
        <v>1095</v>
      </c>
      <c r="F2" s="26" t="s">
        <v>1110</v>
      </c>
    </row>
    <row r="3" spans="2:6" s="10" customFormat="1" ht="20.25" x14ac:dyDescent="0.3">
      <c r="B3" s="28" t="s">
        <v>1114</v>
      </c>
      <c r="C3" s="26" t="s">
        <v>1115</v>
      </c>
      <c r="D3" s="27">
        <v>120</v>
      </c>
      <c r="E3" s="26" t="s">
        <v>1106</v>
      </c>
      <c r="F3" s="26" t="s">
        <v>1110</v>
      </c>
    </row>
    <row r="4" spans="2:6" s="10" customFormat="1" ht="20.25" x14ac:dyDescent="0.3">
      <c r="B4" s="28" t="s">
        <v>1121</v>
      </c>
      <c r="C4" s="26" t="s">
        <v>1122</v>
      </c>
      <c r="D4" s="27">
        <v>187</v>
      </c>
      <c r="E4" s="26" t="s">
        <v>1084</v>
      </c>
      <c r="F4" s="26" t="s">
        <v>1110</v>
      </c>
    </row>
    <row r="5" spans="2:6" s="10" customFormat="1" ht="20.25" x14ac:dyDescent="0.3">
      <c r="B5" s="28" t="s">
        <v>1162</v>
      </c>
      <c r="C5" s="26" t="s">
        <v>1166</v>
      </c>
      <c r="D5" s="27">
        <v>48</v>
      </c>
      <c r="E5" s="26" t="s">
        <v>1104</v>
      </c>
      <c r="F5" s="26" t="s">
        <v>1110</v>
      </c>
    </row>
    <row r="6" spans="2:6" s="10" customFormat="1" ht="20.25" x14ac:dyDescent="0.3">
      <c r="B6" s="28" t="s">
        <v>1162</v>
      </c>
      <c r="C6" s="26" t="s">
        <v>1165</v>
      </c>
      <c r="D6" s="27">
        <v>80</v>
      </c>
      <c r="E6" s="26" t="s">
        <v>1104</v>
      </c>
      <c r="F6" s="26" t="s">
        <v>1110</v>
      </c>
    </row>
    <row r="7" spans="2:6" x14ac:dyDescent="0.25">
      <c r="B7" s="28" t="s">
        <v>1162</v>
      </c>
      <c r="C7" s="26" t="s">
        <v>1164</v>
      </c>
      <c r="D7" s="27">
        <v>2</v>
      </c>
      <c r="E7" s="26" t="s">
        <v>1104</v>
      </c>
      <c r="F7" s="26" t="s">
        <v>1110</v>
      </c>
    </row>
    <row r="8" spans="2:6" x14ac:dyDescent="0.25">
      <c r="B8" s="28" t="s">
        <v>1162</v>
      </c>
      <c r="C8" s="26" t="s">
        <v>1163</v>
      </c>
      <c r="D8" s="27">
        <v>70</v>
      </c>
      <c r="E8" s="26" t="s">
        <v>1104</v>
      </c>
      <c r="F8" s="26" t="s">
        <v>1110</v>
      </c>
    </row>
    <row r="9" spans="2:6" x14ac:dyDescent="0.25">
      <c r="B9" s="28" t="s">
        <v>1160</v>
      </c>
      <c r="C9" s="26" t="s">
        <v>1161</v>
      </c>
      <c r="D9" s="27">
        <v>20</v>
      </c>
      <c r="E9" s="26" t="s">
        <v>1103</v>
      </c>
      <c r="F9" s="26" t="s">
        <v>1110</v>
      </c>
    </row>
    <row r="10" spans="2:6" x14ac:dyDescent="0.25">
      <c r="B10" s="28" t="s">
        <v>1158</v>
      </c>
      <c r="C10" s="26" t="s">
        <v>1159</v>
      </c>
      <c r="D10" s="27">
        <v>50</v>
      </c>
      <c r="E10" s="26" t="s">
        <v>1102</v>
      </c>
      <c r="F10" s="26" t="s">
        <v>1110</v>
      </c>
    </row>
    <row r="11" spans="2:6" x14ac:dyDescent="0.25">
      <c r="B11" s="28" t="s">
        <v>1156</v>
      </c>
      <c r="C11" s="26" t="s">
        <v>1157</v>
      </c>
      <c r="D11" s="27">
        <v>20</v>
      </c>
      <c r="E11" s="26" t="s">
        <v>1101</v>
      </c>
      <c r="F11" s="26" t="s">
        <v>1110</v>
      </c>
    </row>
    <row r="12" spans="2:6" x14ac:dyDescent="0.25">
      <c r="B12" s="28" t="s">
        <v>1154</v>
      </c>
      <c r="C12" s="26" t="s">
        <v>1155</v>
      </c>
      <c r="D12" s="27">
        <v>5</v>
      </c>
      <c r="E12" s="26" t="s">
        <v>1100</v>
      </c>
      <c r="F12" s="26" t="s">
        <v>628</v>
      </c>
    </row>
    <row r="13" spans="2:6" x14ac:dyDescent="0.25">
      <c r="B13" s="28" t="s">
        <v>1152</v>
      </c>
      <c r="C13" s="26" t="s">
        <v>1153</v>
      </c>
      <c r="D13" s="27">
        <v>89</v>
      </c>
      <c r="E13" s="26" t="s">
        <v>1099</v>
      </c>
      <c r="F13" s="26" t="s">
        <v>1110</v>
      </c>
    </row>
    <row r="14" spans="2:6" x14ac:dyDescent="0.25">
      <c r="B14" s="28" t="s">
        <v>1149</v>
      </c>
      <c r="C14" s="26" t="s">
        <v>1151</v>
      </c>
      <c r="D14" s="27">
        <v>100</v>
      </c>
      <c r="E14" s="26" t="s">
        <v>1098</v>
      </c>
      <c r="F14" s="26" t="s">
        <v>1110</v>
      </c>
    </row>
    <row r="15" spans="2:6" x14ac:dyDescent="0.25">
      <c r="B15" s="28" t="s">
        <v>1149</v>
      </c>
      <c r="C15" s="26" t="s">
        <v>1150</v>
      </c>
      <c r="D15" s="27">
        <v>5</v>
      </c>
      <c r="E15" s="26" t="s">
        <v>1098</v>
      </c>
      <c r="F15" s="26" t="s">
        <v>1110</v>
      </c>
    </row>
    <row r="16" spans="2:6" x14ac:dyDescent="0.25">
      <c r="B16" s="28" t="s">
        <v>1147</v>
      </c>
      <c r="C16" s="26" t="s">
        <v>1148</v>
      </c>
      <c r="D16" s="27">
        <v>78</v>
      </c>
      <c r="E16" s="26" t="s">
        <v>1096</v>
      </c>
      <c r="F16" s="26" t="s">
        <v>1110</v>
      </c>
    </row>
    <row r="17" spans="2:6" x14ac:dyDescent="0.25">
      <c r="B17" s="28" t="s">
        <v>1167</v>
      </c>
      <c r="C17" s="26" t="s">
        <v>1146</v>
      </c>
      <c r="D17" s="27">
        <v>60</v>
      </c>
      <c r="E17" s="26" t="s">
        <v>1095</v>
      </c>
      <c r="F17" s="26" t="s">
        <v>1110</v>
      </c>
    </row>
    <row r="18" spans="2:6" x14ac:dyDescent="0.25">
      <c r="B18" s="28" t="s">
        <v>1167</v>
      </c>
      <c r="C18" s="26" t="s">
        <v>1144</v>
      </c>
      <c r="D18" s="27">
        <v>61</v>
      </c>
      <c r="E18" s="26" t="s">
        <v>1095</v>
      </c>
      <c r="F18" s="26" t="s">
        <v>1110</v>
      </c>
    </row>
    <row r="19" spans="2:6" x14ac:dyDescent="0.25">
      <c r="B19" s="28" t="s">
        <v>1142</v>
      </c>
      <c r="C19" s="26" t="s">
        <v>1143</v>
      </c>
      <c r="D19" s="27">
        <v>50</v>
      </c>
      <c r="E19" s="26" t="s">
        <v>1093</v>
      </c>
      <c r="F19" s="26" t="s">
        <v>1110</v>
      </c>
    </row>
    <row r="20" spans="2:6" x14ac:dyDescent="0.25">
      <c r="B20" s="28" t="s">
        <v>1140</v>
      </c>
      <c r="C20" s="26" t="s">
        <v>1141</v>
      </c>
      <c r="D20" s="27">
        <v>67</v>
      </c>
      <c r="E20" s="26" t="s">
        <v>1091</v>
      </c>
      <c r="F20" s="26" t="s">
        <v>1110</v>
      </c>
    </row>
    <row r="21" spans="2:6" x14ac:dyDescent="0.25">
      <c r="B21" s="28" t="s">
        <v>1138</v>
      </c>
      <c r="C21" s="26" t="s">
        <v>1139</v>
      </c>
      <c r="D21" s="27">
        <v>58</v>
      </c>
      <c r="E21" s="26" t="s">
        <v>1090</v>
      </c>
      <c r="F21" s="26" t="s">
        <v>1110</v>
      </c>
    </row>
    <row r="22" spans="2:6" x14ac:dyDescent="0.25">
      <c r="B22" s="28" t="s">
        <v>1136</v>
      </c>
      <c r="C22" s="26" t="s">
        <v>1137</v>
      </c>
      <c r="D22" s="27">
        <v>50</v>
      </c>
      <c r="E22" s="26" t="s">
        <v>1089</v>
      </c>
      <c r="F22" s="26" t="s">
        <v>1110</v>
      </c>
    </row>
    <row r="23" spans="2:6" x14ac:dyDescent="0.25">
      <c r="B23" s="28" t="s">
        <v>1133</v>
      </c>
      <c r="C23" s="26" t="s">
        <v>1135</v>
      </c>
      <c r="D23" s="27">
        <v>51</v>
      </c>
      <c r="E23" s="26" t="s">
        <v>1088</v>
      </c>
      <c r="F23" s="26" t="s">
        <v>1134</v>
      </c>
    </row>
    <row r="24" spans="2:6" x14ac:dyDescent="0.25">
      <c r="B24" s="28" t="s">
        <v>1130</v>
      </c>
      <c r="C24" s="26" t="s">
        <v>1132</v>
      </c>
      <c r="D24" s="27">
        <v>215</v>
      </c>
      <c r="E24" s="26" t="s">
        <v>1087</v>
      </c>
      <c r="F24" s="26" t="s">
        <v>1110</v>
      </c>
    </row>
    <row r="25" spans="2:6" x14ac:dyDescent="0.25">
      <c r="B25" s="28" t="s">
        <v>1130</v>
      </c>
      <c r="C25" s="26" t="s">
        <v>1131</v>
      </c>
      <c r="D25" s="27">
        <v>238</v>
      </c>
      <c r="E25" s="26" t="s">
        <v>1087</v>
      </c>
      <c r="F25" s="26" t="s">
        <v>1110</v>
      </c>
    </row>
    <row r="26" spans="2:6" x14ac:dyDescent="0.25">
      <c r="B26" s="28" t="s">
        <v>1126</v>
      </c>
      <c r="C26" s="26" t="s">
        <v>1129</v>
      </c>
      <c r="D26" s="27">
        <v>80</v>
      </c>
      <c r="E26" s="26" t="s">
        <v>1086</v>
      </c>
      <c r="F26" s="26" t="s">
        <v>1110</v>
      </c>
    </row>
    <row r="27" spans="2:6" x14ac:dyDescent="0.25">
      <c r="B27" s="28" t="s">
        <v>1126</v>
      </c>
      <c r="C27" s="26" t="s">
        <v>1128</v>
      </c>
      <c r="D27" s="27">
        <v>99</v>
      </c>
      <c r="E27" s="26" t="s">
        <v>1086</v>
      </c>
      <c r="F27" s="26" t="s">
        <v>1110</v>
      </c>
    </row>
    <row r="28" spans="2:6" x14ac:dyDescent="0.25">
      <c r="B28" s="28" t="s">
        <v>1126</v>
      </c>
      <c r="C28" s="26" t="s">
        <v>1127</v>
      </c>
      <c r="D28" s="27">
        <v>102</v>
      </c>
      <c r="E28" s="26" t="s">
        <v>1086</v>
      </c>
      <c r="F28" s="26" t="s">
        <v>1110</v>
      </c>
    </row>
    <row r="29" spans="2:6" x14ac:dyDescent="0.25">
      <c r="B29" s="28" t="s">
        <v>1123</v>
      </c>
      <c r="C29" s="26" t="s">
        <v>1125</v>
      </c>
      <c r="D29" s="27">
        <v>150</v>
      </c>
      <c r="E29" s="26" t="s">
        <v>1085</v>
      </c>
      <c r="F29" s="26" t="s">
        <v>1110</v>
      </c>
    </row>
    <row r="30" spans="2:6" x14ac:dyDescent="0.25">
      <c r="B30" s="28" t="s">
        <v>1123</v>
      </c>
      <c r="C30" s="26" t="s">
        <v>1124</v>
      </c>
      <c r="D30" s="27">
        <v>50</v>
      </c>
      <c r="E30" s="26" t="s">
        <v>1085</v>
      </c>
      <c r="F30" s="26" t="s">
        <v>1110</v>
      </c>
    </row>
    <row r="31" spans="2:6" x14ac:dyDescent="0.25">
      <c r="B31" s="28" t="s">
        <v>1082</v>
      </c>
      <c r="C31" s="26" t="s">
        <v>1120</v>
      </c>
      <c r="D31" s="27">
        <v>101</v>
      </c>
      <c r="E31" s="26" t="s">
        <v>1083</v>
      </c>
      <c r="F31" s="26" t="s">
        <v>1110</v>
      </c>
    </row>
    <row r="32" spans="2:6" x14ac:dyDescent="0.25">
      <c r="B32" s="28" t="s">
        <v>1112</v>
      </c>
      <c r="C32" s="26" t="s">
        <v>1119</v>
      </c>
      <c r="D32" s="27">
        <v>364</v>
      </c>
      <c r="E32" s="26" t="s">
        <v>1108</v>
      </c>
      <c r="F32" s="26" t="s">
        <v>628</v>
      </c>
    </row>
    <row r="33" spans="2:6" x14ac:dyDescent="0.25">
      <c r="B33" s="28" t="s">
        <v>1116</v>
      </c>
      <c r="C33" s="26" t="s">
        <v>1118</v>
      </c>
      <c r="D33" s="27">
        <v>5</v>
      </c>
      <c r="E33" s="26" t="s">
        <v>1107</v>
      </c>
      <c r="F33" s="26" t="s">
        <v>1110</v>
      </c>
    </row>
    <row r="34" spans="2:6" x14ac:dyDescent="0.25">
      <c r="B34" s="28" t="s">
        <v>1116</v>
      </c>
      <c r="C34" s="26" t="s">
        <v>1117</v>
      </c>
      <c r="D34" s="27">
        <v>150</v>
      </c>
      <c r="E34" s="26" t="s">
        <v>1107</v>
      </c>
      <c r="F34" s="26" t="s">
        <v>1110</v>
      </c>
    </row>
    <row r="35" spans="2:6" x14ac:dyDescent="0.25">
      <c r="B35" s="28" t="s">
        <v>1112</v>
      </c>
      <c r="C35" s="26" t="s">
        <v>1113</v>
      </c>
      <c r="D35" s="27">
        <v>237</v>
      </c>
      <c r="E35" s="26" t="s">
        <v>1108</v>
      </c>
      <c r="F35" s="26" t="s">
        <v>1110</v>
      </c>
    </row>
    <row r="36" spans="2:6" x14ac:dyDescent="0.25">
      <c r="B36" s="28" t="s">
        <v>1082</v>
      </c>
      <c r="C36" s="26" t="s">
        <v>1111</v>
      </c>
      <c r="D36" s="27">
        <v>200</v>
      </c>
      <c r="E36" s="26" t="s">
        <v>1083</v>
      </c>
      <c r="F36" s="26" t="s">
        <v>1110</v>
      </c>
    </row>
    <row r="37" spans="2:6" x14ac:dyDescent="0.25">
      <c r="B37" s="28" t="s">
        <v>1079</v>
      </c>
      <c r="C37" s="26" t="s">
        <v>1080</v>
      </c>
      <c r="D37" s="27">
        <v>78</v>
      </c>
      <c r="E37" s="26" t="s">
        <v>453</v>
      </c>
      <c r="F37" s="26" t="s">
        <v>1054</v>
      </c>
    </row>
    <row r="38" spans="2:6" x14ac:dyDescent="0.25">
      <c r="B38" s="28" t="s">
        <v>1077</v>
      </c>
      <c r="C38" s="26" t="s">
        <v>1078</v>
      </c>
      <c r="D38" s="27">
        <v>159</v>
      </c>
      <c r="E38" s="26" t="s">
        <v>449</v>
      </c>
      <c r="F38" s="26" t="s">
        <v>1054</v>
      </c>
    </row>
    <row r="39" spans="2:6" x14ac:dyDescent="0.25">
      <c r="B39" s="28" t="s">
        <v>1075</v>
      </c>
      <c r="C39" s="26" t="s">
        <v>1076</v>
      </c>
      <c r="D39" s="27">
        <v>7</v>
      </c>
      <c r="E39" s="26" t="s">
        <v>441</v>
      </c>
      <c r="F39" s="26" t="s">
        <v>1054</v>
      </c>
    </row>
    <row r="40" spans="2:6" x14ac:dyDescent="0.25">
      <c r="B40" s="28" t="s">
        <v>1073</v>
      </c>
      <c r="C40" s="26" t="s">
        <v>1074</v>
      </c>
      <c r="D40" s="27">
        <v>6</v>
      </c>
      <c r="E40" s="26" t="s">
        <v>459</v>
      </c>
      <c r="F40" s="26" t="s">
        <v>1054</v>
      </c>
    </row>
    <row r="41" spans="2:6" x14ac:dyDescent="0.25">
      <c r="B41" s="28" t="s">
        <v>1071</v>
      </c>
      <c r="C41" s="26" t="s">
        <v>1072</v>
      </c>
      <c r="D41" s="27">
        <v>95</v>
      </c>
      <c r="E41" s="26" t="s">
        <v>461</v>
      </c>
      <c r="F41" s="26" t="s">
        <v>1054</v>
      </c>
    </row>
    <row r="42" spans="2:6" x14ac:dyDescent="0.25">
      <c r="B42" s="28" t="s">
        <v>1069</v>
      </c>
      <c r="C42" s="26" t="s">
        <v>1070</v>
      </c>
      <c r="D42" s="27">
        <v>8</v>
      </c>
      <c r="E42" s="26" t="s">
        <v>1064</v>
      </c>
      <c r="F42" s="26" t="s">
        <v>1054</v>
      </c>
    </row>
    <row r="43" spans="2:6" x14ac:dyDescent="0.25">
      <c r="B43" s="28" t="s">
        <v>1067</v>
      </c>
      <c r="C43" s="26" t="s">
        <v>1068</v>
      </c>
      <c r="D43" s="27">
        <v>5</v>
      </c>
      <c r="E43" s="26" t="s">
        <v>451</v>
      </c>
      <c r="F43" s="26" t="s">
        <v>1054</v>
      </c>
    </row>
    <row r="44" spans="2:6" x14ac:dyDescent="0.25">
      <c r="B44" s="28" t="s">
        <v>1062</v>
      </c>
      <c r="C44" s="26" t="s">
        <v>1066</v>
      </c>
      <c r="D44" s="27">
        <v>8</v>
      </c>
      <c r="E44" s="26" t="s">
        <v>1063</v>
      </c>
      <c r="F44" s="26" t="s">
        <v>1054</v>
      </c>
    </row>
    <row r="45" spans="2:6" x14ac:dyDescent="0.25">
      <c r="B45" s="28" t="s">
        <v>1060</v>
      </c>
      <c r="C45" s="26" t="s">
        <v>1061</v>
      </c>
      <c r="D45" s="27">
        <v>182</v>
      </c>
      <c r="E45" s="26" t="s">
        <v>443</v>
      </c>
      <c r="F45" s="26" t="s">
        <v>1054</v>
      </c>
    </row>
    <row r="46" spans="2:6" x14ac:dyDescent="0.25">
      <c r="B46" s="28" t="s">
        <v>1058</v>
      </c>
      <c r="C46" s="26" t="s">
        <v>1059</v>
      </c>
      <c r="D46" s="27">
        <v>20</v>
      </c>
      <c r="E46" s="26" t="s">
        <v>457</v>
      </c>
      <c r="F46" s="26" t="s">
        <v>1054</v>
      </c>
    </row>
    <row r="47" spans="2:6" x14ac:dyDescent="0.25">
      <c r="B47" s="28" t="s">
        <v>1056</v>
      </c>
      <c r="C47" s="26" t="s">
        <v>1057</v>
      </c>
      <c r="D47" s="27">
        <v>119</v>
      </c>
      <c r="E47" s="26" t="s">
        <v>447</v>
      </c>
      <c r="F47" s="26" t="s">
        <v>1054</v>
      </c>
    </row>
    <row r="48" spans="2:6" x14ac:dyDescent="0.25">
      <c r="B48" s="28" t="s">
        <v>1053</v>
      </c>
      <c r="C48" s="26" t="s">
        <v>1055</v>
      </c>
      <c r="D48" s="27">
        <v>3</v>
      </c>
      <c r="E48" s="26" t="s">
        <v>439</v>
      </c>
      <c r="F48" s="26" t="s">
        <v>1054</v>
      </c>
    </row>
    <row r="49" spans="2:6" x14ac:dyDescent="0.25">
      <c r="B49" s="28" t="s">
        <v>1051</v>
      </c>
      <c r="C49" s="26" t="s">
        <v>1052</v>
      </c>
      <c r="D49" s="27">
        <v>2</v>
      </c>
      <c r="E49" s="26" t="s">
        <v>271</v>
      </c>
      <c r="F49" s="26" t="s">
        <v>596</v>
      </c>
    </row>
    <row r="50" spans="2:6" x14ac:dyDescent="0.25">
      <c r="B50" s="28" t="s">
        <v>1048</v>
      </c>
      <c r="C50" s="26" t="s">
        <v>1050</v>
      </c>
      <c r="D50" s="27">
        <v>90</v>
      </c>
      <c r="E50" s="26" t="s">
        <v>269</v>
      </c>
      <c r="F50" s="26" t="s">
        <v>596</v>
      </c>
    </row>
    <row r="51" spans="2:6" x14ac:dyDescent="0.25">
      <c r="B51" s="28" t="s">
        <v>1048</v>
      </c>
      <c r="C51" s="26" t="s">
        <v>1049</v>
      </c>
      <c r="D51" s="27">
        <v>8</v>
      </c>
      <c r="E51" s="26" t="s">
        <v>267</v>
      </c>
      <c r="F51" s="26" t="s">
        <v>596</v>
      </c>
    </row>
    <row r="52" spans="2:6" x14ac:dyDescent="0.25">
      <c r="B52" s="28" t="s">
        <v>1046</v>
      </c>
      <c r="C52" s="26" t="s">
        <v>1047</v>
      </c>
      <c r="D52" s="27">
        <v>87</v>
      </c>
      <c r="E52" s="26" t="s">
        <v>257</v>
      </c>
      <c r="F52" s="26" t="s">
        <v>596</v>
      </c>
    </row>
    <row r="53" spans="2:6" x14ac:dyDescent="0.25">
      <c r="B53" s="28" t="s">
        <v>1044</v>
      </c>
      <c r="C53" s="26" t="s">
        <v>1045</v>
      </c>
      <c r="D53" s="27">
        <v>3</v>
      </c>
      <c r="E53" s="26" t="s">
        <v>263</v>
      </c>
      <c r="F53" s="26" t="s">
        <v>596</v>
      </c>
    </row>
    <row r="54" spans="2:6" x14ac:dyDescent="0.25">
      <c r="B54" s="28" t="s">
        <v>1042</v>
      </c>
      <c r="C54" s="26" t="s">
        <v>1043</v>
      </c>
      <c r="D54" s="27">
        <v>22</v>
      </c>
      <c r="E54" s="26" t="s">
        <v>251</v>
      </c>
      <c r="F54" s="26" t="s">
        <v>596</v>
      </c>
    </row>
    <row r="55" spans="2:6" x14ac:dyDescent="0.25">
      <c r="B55" s="28" t="s">
        <v>715</v>
      </c>
      <c r="C55" s="26" t="s">
        <v>1041</v>
      </c>
      <c r="D55" s="27">
        <v>300</v>
      </c>
      <c r="E55" s="26" t="s">
        <v>843</v>
      </c>
      <c r="F55" s="26" t="s">
        <v>596</v>
      </c>
    </row>
    <row r="56" spans="2:6" x14ac:dyDescent="0.25">
      <c r="B56" s="28" t="s">
        <v>693</v>
      </c>
      <c r="C56" s="26" t="s">
        <v>694</v>
      </c>
      <c r="D56" s="27">
        <v>130</v>
      </c>
      <c r="E56" s="26" t="s">
        <v>823</v>
      </c>
      <c r="F56" s="26" t="s">
        <v>596</v>
      </c>
    </row>
    <row r="57" spans="2:6" x14ac:dyDescent="0.25">
      <c r="B57" s="28" t="s">
        <v>751</v>
      </c>
      <c r="C57" s="26" t="s">
        <v>752</v>
      </c>
      <c r="D57" s="27">
        <v>174</v>
      </c>
      <c r="E57" s="26" t="s">
        <v>247</v>
      </c>
      <c r="F57" s="26" t="s">
        <v>596</v>
      </c>
    </row>
    <row r="58" spans="2:6" x14ac:dyDescent="0.25">
      <c r="B58" s="28" t="s">
        <v>749</v>
      </c>
      <c r="C58" s="26" t="s">
        <v>750</v>
      </c>
      <c r="D58" s="27">
        <v>180</v>
      </c>
      <c r="E58" s="26" t="s">
        <v>241</v>
      </c>
      <c r="F58" s="26" t="s">
        <v>596</v>
      </c>
    </row>
    <row r="59" spans="2:6" x14ac:dyDescent="0.25">
      <c r="B59" s="28" t="s">
        <v>746</v>
      </c>
      <c r="C59" s="26" t="s">
        <v>748</v>
      </c>
      <c r="D59" s="27">
        <v>90</v>
      </c>
      <c r="E59" s="26" t="s">
        <v>239</v>
      </c>
      <c r="F59" s="26" t="s">
        <v>596</v>
      </c>
    </row>
    <row r="60" spans="2:6" x14ac:dyDescent="0.25">
      <c r="B60" s="28" t="s">
        <v>746</v>
      </c>
      <c r="C60" s="26" t="s">
        <v>747</v>
      </c>
      <c r="D60" s="27">
        <v>58</v>
      </c>
      <c r="E60" s="26" t="s">
        <v>239</v>
      </c>
      <c r="F60" s="26" t="s">
        <v>596</v>
      </c>
    </row>
    <row r="61" spans="2:6" x14ac:dyDescent="0.25">
      <c r="B61" s="28" t="s">
        <v>744</v>
      </c>
      <c r="C61" s="26" t="s">
        <v>745</v>
      </c>
      <c r="D61" s="27">
        <v>40</v>
      </c>
      <c r="E61" s="26" t="s">
        <v>237</v>
      </c>
      <c r="F61" s="26" t="s">
        <v>596</v>
      </c>
    </row>
    <row r="62" spans="2:6" x14ac:dyDescent="0.25">
      <c r="B62" s="28" t="s">
        <v>742</v>
      </c>
      <c r="C62" s="26" t="s">
        <v>743</v>
      </c>
      <c r="D62" s="27">
        <v>85</v>
      </c>
      <c r="E62" s="26" t="s">
        <v>233</v>
      </c>
      <c r="F62" s="26" t="s">
        <v>596</v>
      </c>
    </row>
    <row r="63" spans="2:6" x14ac:dyDescent="0.25">
      <c r="B63" s="28" t="s">
        <v>740</v>
      </c>
      <c r="C63" s="26" t="s">
        <v>741</v>
      </c>
      <c r="D63" s="27">
        <v>119</v>
      </c>
      <c r="E63" s="26" t="s">
        <v>231</v>
      </c>
      <c r="F63" s="26" t="s">
        <v>596</v>
      </c>
    </row>
    <row r="64" spans="2:6" x14ac:dyDescent="0.25">
      <c r="B64" s="28" t="s">
        <v>738</v>
      </c>
      <c r="C64" s="26" t="s">
        <v>739</v>
      </c>
      <c r="D64" s="27">
        <v>37</v>
      </c>
      <c r="E64" s="26" t="s">
        <v>229</v>
      </c>
      <c r="F64" s="26" t="s">
        <v>596</v>
      </c>
    </row>
    <row r="65" spans="2:6" x14ac:dyDescent="0.25">
      <c r="B65" s="28" t="s">
        <v>736</v>
      </c>
      <c r="C65" s="26" t="s">
        <v>737</v>
      </c>
      <c r="D65" s="27">
        <v>153</v>
      </c>
      <c r="E65" s="26" t="s">
        <v>227</v>
      </c>
      <c r="F65" s="26" t="s">
        <v>596</v>
      </c>
    </row>
    <row r="66" spans="2:6" x14ac:dyDescent="0.25">
      <c r="B66" s="28" t="s">
        <v>733</v>
      </c>
      <c r="C66" s="26" t="s">
        <v>735</v>
      </c>
      <c r="D66" s="27">
        <v>200</v>
      </c>
      <c r="E66" s="26" t="s">
        <v>223</v>
      </c>
      <c r="F66" s="26" t="s">
        <v>596</v>
      </c>
    </row>
    <row r="67" spans="2:6" x14ac:dyDescent="0.25">
      <c r="B67" s="28" t="s">
        <v>733</v>
      </c>
      <c r="C67" s="26" t="s">
        <v>734</v>
      </c>
      <c r="D67" s="27">
        <v>43</v>
      </c>
      <c r="E67" s="26" t="s">
        <v>221</v>
      </c>
      <c r="F67" s="26" t="s">
        <v>596</v>
      </c>
    </row>
    <row r="68" spans="2:6" x14ac:dyDescent="0.25">
      <c r="B68" s="28" t="s">
        <v>731</v>
      </c>
      <c r="C68" s="26" t="s">
        <v>732</v>
      </c>
      <c r="D68" s="27">
        <v>2</v>
      </c>
      <c r="E68" s="26" t="s">
        <v>217</v>
      </c>
      <c r="F68" s="26" t="s">
        <v>596</v>
      </c>
    </row>
    <row r="69" spans="2:6" x14ac:dyDescent="0.25">
      <c r="B69" s="28" t="s">
        <v>729</v>
      </c>
      <c r="C69" s="26" t="s">
        <v>730</v>
      </c>
      <c r="D69" s="27">
        <v>1</v>
      </c>
      <c r="E69" s="26" t="s">
        <v>215</v>
      </c>
      <c r="F69" s="26" t="s">
        <v>596</v>
      </c>
    </row>
    <row r="70" spans="2:6" x14ac:dyDescent="0.25">
      <c r="B70" s="28" t="s">
        <v>727</v>
      </c>
      <c r="C70" s="26" t="s">
        <v>728</v>
      </c>
      <c r="D70" s="27">
        <v>41</v>
      </c>
      <c r="E70" s="26" t="s">
        <v>211</v>
      </c>
      <c r="F70" s="26" t="s">
        <v>596</v>
      </c>
    </row>
    <row r="71" spans="2:6" x14ac:dyDescent="0.25">
      <c r="B71" s="28" t="s">
        <v>725</v>
      </c>
      <c r="C71" s="26" t="s">
        <v>726</v>
      </c>
      <c r="D71" s="27">
        <v>90</v>
      </c>
      <c r="E71" s="26" t="s">
        <v>213</v>
      </c>
      <c r="F71" s="26" t="s">
        <v>596</v>
      </c>
    </row>
    <row r="72" spans="2:6" x14ac:dyDescent="0.25">
      <c r="B72" s="28" t="s">
        <v>723</v>
      </c>
      <c r="C72" s="26" t="s">
        <v>724</v>
      </c>
      <c r="D72" s="27">
        <v>24</v>
      </c>
      <c r="E72" s="26" t="s">
        <v>205</v>
      </c>
      <c r="F72" s="26" t="s">
        <v>596</v>
      </c>
    </row>
    <row r="73" spans="2:6" x14ac:dyDescent="0.25">
      <c r="B73" s="28" t="s">
        <v>721</v>
      </c>
      <c r="C73" s="26" t="s">
        <v>722</v>
      </c>
      <c r="D73" s="27">
        <v>24</v>
      </c>
      <c r="E73" s="26" t="s">
        <v>203</v>
      </c>
      <c r="F73" s="26" t="s">
        <v>596</v>
      </c>
    </row>
    <row r="74" spans="2:6" x14ac:dyDescent="0.25">
      <c r="B74" s="28" t="s">
        <v>719</v>
      </c>
      <c r="C74" s="26" t="s">
        <v>720</v>
      </c>
      <c r="D74" s="27">
        <v>75</v>
      </c>
      <c r="E74" s="26" t="s">
        <v>201</v>
      </c>
      <c r="F74" s="26" t="s">
        <v>596</v>
      </c>
    </row>
    <row r="75" spans="2:6" x14ac:dyDescent="0.25">
      <c r="B75" s="28" t="s">
        <v>717</v>
      </c>
      <c r="C75" s="26" t="s">
        <v>718</v>
      </c>
      <c r="D75" s="27">
        <v>18</v>
      </c>
      <c r="E75" s="26" t="s">
        <v>199</v>
      </c>
      <c r="F75" s="26" t="s">
        <v>596</v>
      </c>
    </row>
    <row r="76" spans="2:6" x14ac:dyDescent="0.25">
      <c r="B76" s="28" t="s">
        <v>715</v>
      </c>
      <c r="C76" s="26" t="s">
        <v>716</v>
      </c>
      <c r="D76" s="27">
        <v>197</v>
      </c>
      <c r="E76" s="26" t="s">
        <v>195</v>
      </c>
      <c r="F76" s="26" t="s">
        <v>596</v>
      </c>
    </row>
    <row r="77" spans="2:6" x14ac:dyDescent="0.25">
      <c r="B77" s="28" t="s">
        <v>713</v>
      </c>
      <c r="C77" s="26" t="s">
        <v>714</v>
      </c>
      <c r="D77" s="27">
        <v>39</v>
      </c>
      <c r="E77" s="26" t="s">
        <v>193</v>
      </c>
      <c r="F77" s="26" t="s">
        <v>596</v>
      </c>
    </row>
    <row r="78" spans="2:6" x14ac:dyDescent="0.25">
      <c r="B78" s="28" t="s">
        <v>711</v>
      </c>
      <c r="C78" s="26" t="s">
        <v>712</v>
      </c>
      <c r="D78" s="27">
        <v>5</v>
      </c>
      <c r="E78" s="26" t="s">
        <v>189</v>
      </c>
      <c r="F78" s="26" t="s">
        <v>596</v>
      </c>
    </row>
    <row r="79" spans="2:6" x14ac:dyDescent="0.25">
      <c r="B79" s="28" t="s">
        <v>710</v>
      </c>
      <c r="C79" s="26" t="s">
        <v>648</v>
      </c>
      <c r="D79" s="27">
        <v>77</v>
      </c>
      <c r="E79" s="26" t="s">
        <v>171</v>
      </c>
      <c r="F79" s="26" t="s">
        <v>596</v>
      </c>
    </row>
    <row r="80" spans="2:6" x14ac:dyDescent="0.25">
      <c r="B80" s="28" t="s">
        <v>708</v>
      </c>
      <c r="C80" s="26" t="s">
        <v>709</v>
      </c>
      <c r="D80" s="27">
        <v>146</v>
      </c>
      <c r="E80" s="26" t="s">
        <v>173</v>
      </c>
      <c r="F80" s="26" t="s">
        <v>596</v>
      </c>
    </row>
    <row r="81" spans="2:6" x14ac:dyDescent="0.25">
      <c r="B81" s="28" t="s">
        <v>706</v>
      </c>
      <c r="C81" s="26" t="s">
        <v>707</v>
      </c>
      <c r="D81" s="27">
        <v>32</v>
      </c>
      <c r="E81" s="26" t="s">
        <v>169</v>
      </c>
      <c r="F81" s="26" t="s">
        <v>596</v>
      </c>
    </row>
    <row r="82" spans="2:6" x14ac:dyDescent="0.25">
      <c r="B82" s="28" t="s">
        <v>704</v>
      </c>
      <c r="C82" s="26" t="s">
        <v>705</v>
      </c>
      <c r="D82" s="27">
        <v>26</v>
      </c>
      <c r="E82" s="26" t="s">
        <v>165</v>
      </c>
      <c r="F82" s="26" t="s">
        <v>596</v>
      </c>
    </row>
    <row r="83" spans="2:6" x14ac:dyDescent="0.25">
      <c r="B83" s="28" t="s">
        <v>702</v>
      </c>
      <c r="C83" s="26" t="s">
        <v>703</v>
      </c>
      <c r="D83" s="27">
        <v>41</v>
      </c>
      <c r="E83" s="26" t="s">
        <v>161</v>
      </c>
      <c r="F83" s="26" t="s">
        <v>596</v>
      </c>
    </row>
    <row r="84" spans="2:6" x14ac:dyDescent="0.25">
      <c r="B84" s="28" t="s">
        <v>700</v>
      </c>
      <c r="C84" s="26" t="s">
        <v>701</v>
      </c>
      <c r="D84" s="27">
        <v>150</v>
      </c>
      <c r="E84" s="26" t="s">
        <v>183</v>
      </c>
      <c r="F84" s="26" t="s">
        <v>596</v>
      </c>
    </row>
    <row r="85" spans="2:6" x14ac:dyDescent="0.25">
      <c r="B85" s="28" t="s">
        <v>698</v>
      </c>
      <c r="C85" s="26" t="s">
        <v>699</v>
      </c>
      <c r="D85" s="27">
        <v>15</v>
      </c>
      <c r="E85" s="26" t="s">
        <v>181</v>
      </c>
      <c r="F85" s="26" t="s">
        <v>596</v>
      </c>
    </row>
    <row r="86" spans="2:6" x14ac:dyDescent="0.25">
      <c r="B86" s="28" t="s">
        <v>696</v>
      </c>
      <c r="C86" s="26" t="s">
        <v>697</v>
      </c>
      <c r="D86" s="27">
        <v>194</v>
      </c>
      <c r="E86" s="26" t="s">
        <v>177</v>
      </c>
      <c r="F86" s="26" t="s">
        <v>596</v>
      </c>
    </row>
    <row r="87" spans="2:6" x14ac:dyDescent="0.25">
      <c r="B87" s="28" t="s">
        <v>691</v>
      </c>
      <c r="C87" s="26" t="s">
        <v>695</v>
      </c>
      <c r="D87" s="27">
        <v>2080</v>
      </c>
      <c r="E87" s="26" t="s">
        <v>157</v>
      </c>
      <c r="F87" s="26" t="s">
        <v>596</v>
      </c>
    </row>
    <row r="88" spans="2:6" x14ac:dyDescent="0.25">
      <c r="B88" s="28" t="s">
        <v>693</v>
      </c>
      <c r="C88" s="26" t="s">
        <v>694</v>
      </c>
      <c r="D88" s="27">
        <v>119</v>
      </c>
      <c r="E88" s="26" t="s">
        <v>155</v>
      </c>
      <c r="F88" s="26" t="s">
        <v>596</v>
      </c>
    </row>
    <row r="89" spans="2:6" x14ac:dyDescent="0.25">
      <c r="B89" s="28" t="s">
        <v>691</v>
      </c>
      <c r="C89" s="26" t="s">
        <v>692</v>
      </c>
      <c r="D89" s="27">
        <v>316</v>
      </c>
      <c r="E89" s="26" t="s">
        <v>153</v>
      </c>
      <c r="F89" s="26" t="s">
        <v>596</v>
      </c>
    </row>
    <row r="90" spans="2:6" x14ac:dyDescent="0.25">
      <c r="B90" s="28" t="s">
        <v>689</v>
      </c>
      <c r="C90" s="26" t="s">
        <v>690</v>
      </c>
      <c r="D90" s="27">
        <v>149</v>
      </c>
      <c r="E90" s="26" t="s">
        <v>149</v>
      </c>
      <c r="F90" s="26" t="s">
        <v>596</v>
      </c>
    </row>
    <row r="91" spans="2:6" x14ac:dyDescent="0.25">
      <c r="B91" s="28" t="s">
        <v>687</v>
      </c>
      <c r="C91" s="26" t="s">
        <v>688</v>
      </c>
      <c r="D91" s="27">
        <v>14</v>
      </c>
      <c r="E91" s="26" t="s">
        <v>147</v>
      </c>
      <c r="F91" s="26" t="s">
        <v>596</v>
      </c>
    </row>
    <row r="92" spans="2:6" x14ac:dyDescent="0.25">
      <c r="B92" s="28" t="s">
        <v>685</v>
      </c>
      <c r="C92" s="26" t="s">
        <v>686</v>
      </c>
      <c r="D92" s="27">
        <v>302</v>
      </c>
      <c r="E92" s="26" t="s">
        <v>151</v>
      </c>
      <c r="F92" s="26" t="s">
        <v>596</v>
      </c>
    </row>
    <row r="93" spans="2:6" x14ac:dyDescent="0.25">
      <c r="B93" s="28" t="s">
        <v>683</v>
      </c>
      <c r="C93" s="26" t="s">
        <v>684</v>
      </c>
      <c r="D93" s="27">
        <v>275</v>
      </c>
      <c r="E93" s="26" t="s">
        <v>145</v>
      </c>
      <c r="F93" s="26" t="s">
        <v>596</v>
      </c>
    </row>
    <row r="94" spans="2:6" x14ac:dyDescent="0.25">
      <c r="B94" s="28" t="s">
        <v>681</v>
      </c>
      <c r="C94" s="26" t="s">
        <v>682</v>
      </c>
      <c r="D94" s="27">
        <v>306</v>
      </c>
      <c r="E94" s="26" t="s">
        <v>139</v>
      </c>
      <c r="F94" s="26" t="s">
        <v>596</v>
      </c>
    </row>
    <row r="95" spans="2:6" x14ac:dyDescent="0.25">
      <c r="B95" s="28" t="s">
        <v>678</v>
      </c>
      <c r="C95" s="26" t="s">
        <v>680</v>
      </c>
      <c r="D95" s="27">
        <v>737</v>
      </c>
      <c r="E95" s="26" t="s">
        <v>133</v>
      </c>
      <c r="F95" s="26" t="s">
        <v>596</v>
      </c>
    </row>
    <row r="96" spans="2:6" x14ac:dyDescent="0.25">
      <c r="B96" s="28" t="s">
        <v>678</v>
      </c>
      <c r="C96" s="26" t="s">
        <v>679</v>
      </c>
      <c r="D96" s="27">
        <v>314</v>
      </c>
      <c r="E96" s="26" t="s">
        <v>133</v>
      </c>
      <c r="F96" s="26" t="s">
        <v>596</v>
      </c>
    </row>
    <row r="97" spans="2:6" x14ac:dyDescent="0.25">
      <c r="B97" s="28" t="s">
        <v>676</v>
      </c>
      <c r="C97" s="26" t="s">
        <v>677</v>
      </c>
      <c r="D97" s="27">
        <v>27</v>
      </c>
      <c r="E97" s="26" t="s">
        <v>129</v>
      </c>
      <c r="F97" s="26" t="s">
        <v>596</v>
      </c>
    </row>
    <row r="98" spans="2:6" x14ac:dyDescent="0.25">
      <c r="B98" s="28" t="s">
        <v>674</v>
      </c>
      <c r="C98" s="26" t="s">
        <v>675</v>
      </c>
      <c r="D98" s="27">
        <v>561</v>
      </c>
      <c r="E98" s="26" t="s">
        <v>127</v>
      </c>
      <c r="F98" s="26" t="s">
        <v>596</v>
      </c>
    </row>
    <row r="99" spans="2:6" x14ac:dyDescent="0.25">
      <c r="B99" s="28" t="s">
        <v>672</v>
      </c>
      <c r="C99" s="26" t="s">
        <v>673</v>
      </c>
      <c r="D99" s="27">
        <v>195</v>
      </c>
      <c r="E99" s="26" t="s">
        <v>125</v>
      </c>
      <c r="F99" s="26" t="s">
        <v>596</v>
      </c>
    </row>
    <row r="100" spans="2:6" x14ac:dyDescent="0.25">
      <c r="B100" s="28" t="s">
        <v>670</v>
      </c>
      <c r="C100" s="26" t="s">
        <v>671</v>
      </c>
      <c r="D100" s="27">
        <v>100</v>
      </c>
      <c r="E100" s="26" t="s">
        <v>121</v>
      </c>
      <c r="F100" s="26" t="s">
        <v>596</v>
      </c>
    </row>
    <row r="101" spans="2:6" x14ac:dyDescent="0.25">
      <c r="B101" s="28" t="s">
        <v>668</v>
      </c>
      <c r="C101" s="26" t="s">
        <v>669</v>
      </c>
      <c r="D101" s="27">
        <v>159</v>
      </c>
      <c r="E101" s="26" t="s">
        <v>121</v>
      </c>
      <c r="F101" s="26" t="s">
        <v>596</v>
      </c>
    </row>
    <row r="102" spans="2:6" x14ac:dyDescent="0.25">
      <c r="B102" s="28" t="s">
        <v>666</v>
      </c>
      <c r="C102" s="26" t="s">
        <v>667</v>
      </c>
      <c r="D102" s="27">
        <v>79</v>
      </c>
      <c r="E102" s="26" t="s">
        <v>119</v>
      </c>
      <c r="F102" s="26" t="s">
        <v>596</v>
      </c>
    </row>
    <row r="103" spans="2:6" x14ac:dyDescent="0.25">
      <c r="B103" s="28" t="s">
        <v>664</v>
      </c>
      <c r="C103" s="26" t="s">
        <v>665</v>
      </c>
      <c r="D103" s="27">
        <v>407</v>
      </c>
      <c r="E103" s="26" t="s">
        <v>117</v>
      </c>
      <c r="F103" s="26" t="s">
        <v>596</v>
      </c>
    </row>
    <row r="104" spans="2:6" x14ac:dyDescent="0.25">
      <c r="B104" s="28" t="s">
        <v>661</v>
      </c>
      <c r="C104" s="26" t="s">
        <v>663</v>
      </c>
      <c r="D104" s="27">
        <v>300</v>
      </c>
      <c r="E104" s="26" t="s">
        <v>115</v>
      </c>
      <c r="F104" s="26" t="s">
        <v>596</v>
      </c>
    </row>
    <row r="105" spans="2:6" x14ac:dyDescent="0.25">
      <c r="B105" s="28" t="s">
        <v>661</v>
      </c>
      <c r="C105" s="26" t="s">
        <v>662</v>
      </c>
      <c r="D105" s="27">
        <v>4</v>
      </c>
      <c r="E105" s="26" t="s">
        <v>113</v>
      </c>
      <c r="F105" s="26" t="s">
        <v>596</v>
      </c>
    </row>
    <row r="106" spans="2:6" x14ac:dyDescent="0.25">
      <c r="B106" s="28" t="s">
        <v>660</v>
      </c>
      <c r="C106" s="26" t="s">
        <v>659</v>
      </c>
      <c r="D106" s="27">
        <v>300</v>
      </c>
      <c r="E106" s="26" t="s">
        <v>111</v>
      </c>
      <c r="F106" s="26" t="s">
        <v>596</v>
      </c>
    </row>
    <row r="107" spans="2:6" x14ac:dyDescent="0.25">
      <c r="B107" s="28" t="s">
        <v>657</v>
      </c>
      <c r="C107" s="26" t="s">
        <v>659</v>
      </c>
      <c r="D107" s="27">
        <v>100</v>
      </c>
      <c r="E107" s="26" t="s">
        <v>109</v>
      </c>
      <c r="F107" s="26" t="s">
        <v>596</v>
      </c>
    </row>
    <row r="108" spans="2:6" x14ac:dyDescent="0.25">
      <c r="B108" s="28" t="s">
        <v>657</v>
      </c>
      <c r="C108" s="26" t="s">
        <v>658</v>
      </c>
      <c r="D108" s="27">
        <v>129</v>
      </c>
      <c r="E108" s="26" t="s">
        <v>107</v>
      </c>
      <c r="F108" s="26" t="s">
        <v>596</v>
      </c>
    </row>
    <row r="109" spans="2:6" x14ac:dyDescent="0.25">
      <c r="B109" s="28" t="s">
        <v>655</v>
      </c>
      <c r="C109" s="26" t="s">
        <v>656</v>
      </c>
      <c r="D109" s="27">
        <v>194</v>
      </c>
      <c r="E109" s="26" t="s">
        <v>81</v>
      </c>
      <c r="F109" s="26" t="s">
        <v>596</v>
      </c>
    </row>
    <row r="110" spans="2:6" x14ac:dyDescent="0.25">
      <c r="B110" s="28" t="s">
        <v>653</v>
      </c>
      <c r="C110" s="26" t="s">
        <v>654</v>
      </c>
      <c r="D110" s="27">
        <v>35</v>
      </c>
      <c r="E110" s="26" t="s">
        <v>105</v>
      </c>
      <c r="F110" s="26" t="s">
        <v>596</v>
      </c>
    </row>
    <row r="111" spans="2:6" x14ac:dyDescent="0.25">
      <c r="B111" s="28" t="s">
        <v>651</v>
      </c>
      <c r="C111" s="26" t="s">
        <v>652</v>
      </c>
      <c r="D111" s="27">
        <v>258</v>
      </c>
      <c r="E111" s="26" t="s">
        <v>103</v>
      </c>
      <c r="F111" s="26" t="s">
        <v>596</v>
      </c>
    </row>
    <row r="112" spans="2:6" x14ac:dyDescent="0.25">
      <c r="B112" s="28" t="s">
        <v>649</v>
      </c>
      <c r="C112" s="26" t="s">
        <v>650</v>
      </c>
      <c r="D112" s="27">
        <v>186</v>
      </c>
      <c r="E112" s="26" t="s">
        <v>101</v>
      </c>
      <c r="F112" s="26" t="s">
        <v>596</v>
      </c>
    </row>
    <row r="113" spans="2:6" x14ac:dyDescent="0.25">
      <c r="B113" s="28" t="s">
        <v>647</v>
      </c>
      <c r="C113" s="26" t="s">
        <v>648</v>
      </c>
      <c r="D113" s="27">
        <v>6</v>
      </c>
      <c r="E113" s="26" t="s">
        <v>87</v>
      </c>
      <c r="F113" s="26" t="s">
        <v>596</v>
      </c>
    </row>
    <row r="114" spans="2:6" x14ac:dyDescent="0.25">
      <c r="B114" s="28" t="s">
        <v>645</v>
      </c>
      <c r="C114" s="26" t="s">
        <v>646</v>
      </c>
      <c r="D114" s="27">
        <v>4</v>
      </c>
      <c r="E114" s="26" t="s">
        <v>89</v>
      </c>
      <c r="F114" s="26" t="s">
        <v>596</v>
      </c>
    </row>
    <row r="115" spans="2:6" x14ac:dyDescent="0.25">
      <c r="B115" s="28" t="s">
        <v>643</v>
      </c>
      <c r="C115" s="26" t="s">
        <v>644</v>
      </c>
      <c r="D115" s="27">
        <v>93</v>
      </c>
      <c r="E115" s="26" t="s">
        <v>93</v>
      </c>
      <c r="F115" s="26" t="s">
        <v>596</v>
      </c>
    </row>
    <row r="116" spans="2:6" x14ac:dyDescent="0.25">
      <c r="B116" s="28" t="s">
        <v>641</v>
      </c>
      <c r="C116" s="26" t="s">
        <v>642</v>
      </c>
      <c r="D116" s="27">
        <v>34</v>
      </c>
      <c r="E116" s="26" t="s">
        <v>91</v>
      </c>
      <c r="F116" s="26" t="s">
        <v>596</v>
      </c>
    </row>
    <row r="117" spans="2:6" x14ac:dyDescent="0.25">
      <c r="B117" s="28" t="s">
        <v>639</v>
      </c>
      <c r="C117" s="26" t="s">
        <v>640</v>
      </c>
      <c r="D117" s="27">
        <v>194</v>
      </c>
      <c r="E117" s="26" t="s">
        <v>99</v>
      </c>
      <c r="F117" s="26" t="s">
        <v>596</v>
      </c>
    </row>
    <row r="118" spans="2:6" x14ac:dyDescent="0.25">
      <c r="B118" s="28" t="s">
        <v>637</v>
      </c>
      <c r="C118" s="26" t="s">
        <v>638</v>
      </c>
      <c r="D118" s="27">
        <v>239</v>
      </c>
      <c r="E118" s="26" t="s">
        <v>97</v>
      </c>
      <c r="F118" s="26" t="s">
        <v>596</v>
      </c>
    </row>
    <row r="119" spans="2:6" x14ac:dyDescent="0.25">
      <c r="B119" s="28" t="s">
        <v>635</v>
      </c>
      <c r="C119" s="26" t="s">
        <v>636</v>
      </c>
      <c r="D119" s="27">
        <v>10</v>
      </c>
      <c r="E119" s="26" t="s">
        <v>79</v>
      </c>
      <c r="F119" s="26" t="s">
        <v>596</v>
      </c>
    </row>
    <row r="120" spans="2:6" x14ac:dyDescent="0.25">
      <c r="B120" s="28" t="s">
        <v>633</v>
      </c>
      <c r="C120" s="26" t="s">
        <v>634</v>
      </c>
      <c r="D120" s="27">
        <v>27</v>
      </c>
      <c r="E120" s="26" t="s">
        <v>77</v>
      </c>
      <c r="F120" s="26" t="s">
        <v>596</v>
      </c>
    </row>
    <row r="121" spans="2:6" x14ac:dyDescent="0.25">
      <c r="B121" s="28" t="s">
        <v>631</v>
      </c>
      <c r="C121" s="26" t="s">
        <v>632</v>
      </c>
      <c r="D121" s="27">
        <v>79</v>
      </c>
      <c r="E121" s="26" t="s">
        <v>83</v>
      </c>
      <c r="F121" s="26" t="s">
        <v>596</v>
      </c>
    </row>
    <row r="122" spans="2:6" x14ac:dyDescent="0.25">
      <c r="B122" s="28" t="s">
        <v>629</v>
      </c>
      <c r="C122" s="26" t="s">
        <v>630</v>
      </c>
      <c r="D122" s="27">
        <v>165</v>
      </c>
      <c r="E122" s="26" t="s">
        <v>85</v>
      </c>
      <c r="F122" s="26" t="s">
        <v>596</v>
      </c>
    </row>
    <row r="123" spans="2:6" x14ac:dyDescent="0.25">
      <c r="B123" s="28" t="s">
        <v>626</v>
      </c>
      <c r="C123" s="26" t="s">
        <v>627</v>
      </c>
      <c r="D123" s="27">
        <v>9</v>
      </c>
      <c r="E123" s="26" t="s">
        <v>75</v>
      </c>
      <c r="F123" s="26" t="s">
        <v>596</v>
      </c>
    </row>
    <row r="124" spans="2:6" x14ac:dyDescent="0.25">
      <c r="B124" s="28" t="s">
        <v>624</v>
      </c>
      <c r="C124" s="26" t="s">
        <v>625</v>
      </c>
      <c r="D124" s="27">
        <v>107</v>
      </c>
      <c r="E124" s="26" t="s">
        <v>69</v>
      </c>
      <c r="F124" s="26" t="s">
        <v>596</v>
      </c>
    </row>
    <row r="125" spans="2:6" x14ac:dyDescent="0.25">
      <c r="B125" s="28" t="s">
        <v>622</v>
      </c>
      <c r="C125" s="26" t="s">
        <v>623</v>
      </c>
      <c r="D125" s="27">
        <v>8</v>
      </c>
      <c r="E125" s="26" t="s">
        <v>67</v>
      </c>
      <c r="F125" s="26" t="s">
        <v>596</v>
      </c>
    </row>
    <row r="126" spans="2:6" x14ac:dyDescent="0.25">
      <c r="B126" s="28" t="s">
        <v>620</v>
      </c>
      <c r="C126" s="26" t="s">
        <v>621</v>
      </c>
      <c r="D126" s="27">
        <v>63</v>
      </c>
      <c r="E126" s="26" t="s">
        <v>63</v>
      </c>
      <c r="F126" s="26" t="s">
        <v>596</v>
      </c>
    </row>
    <row r="127" spans="2:6" x14ac:dyDescent="0.25">
      <c r="B127" s="28" t="s">
        <v>618</v>
      </c>
      <c r="C127" s="26" t="s">
        <v>619</v>
      </c>
      <c r="D127" s="27">
        <v>41</v>
      </c>
      <c r="E127" s="26" t="s">
        <v>43</v>
      </c>
      <c r="F127" s="26" t="s">
        <v>596</v>
      </c>
    </row>
    <row r="128" spans="2:6" x14ac:dyDescent="0.25">
      <c r="B128" s="28" t="s">
        <v>616</v>
      </c>
      <c r="C128" s="26" t="s">
        <v>617</v>
      </c>
      <c r="D128" s="27">
        <v>146</v>
      </c>
      <c r="E128" s="26" t="s">
        <v>49</v>
      </c>
      <c r="F128" s="26" t="s">
        <v>596</v>
      </c>
    </row>
    <row r="129" spans="2:6" x14ac:dyDescent="0.25">
      <c r="B129" s="28" t="s">
        <v>614</v>
      </c>
      <c r="C129" s="26" t="s">
        <v>615</v>
      </c>
      <c r="D129" s="27">
        <v>8</v>
      </c>
      <c r="E129" s="26" t="s">
        <v>45</v>
      </c>
      <c r="F129" s="26" t="s">
        <v>596</v>
      </c>
    </row>
    <row r="130" spans="2:6" x14ac:dyDescent="0.25">
      <c r="B130" s="28" t="s">
        <v>612</v>
      </c>
      <c r="C130" s="26" t="s">
        <v>613</v>
      </c>
      <c r="D130" s="27">
        <v>451</v>
      </c>
      <c r="E130" s="26" t="s">
        <v>41</v>
      </c>
      <c r="F130" s="26" t="s">
        <v>596</v>
      </c>
    </row>
    <row r="131" spans="2:6" x14ac:dyDescent="0.25">
      <c r="B131" s="28" t="s">
        <v>610</v>
      </c>
      <c r="C131" s="26" t="s">
        <v>611</v>
      </c>
      <c r="D131" s="27">
        <v>88</v>
      </c>
      <c r="E131" s="26" t="s">
        <v>61</v>
      </c>
      <c r="F131" s="26" t="s">
        <v>596</v>
      </c>
    </row>
    <row r="132" spans="2:6" x14ac:dyDescent="0.25">
      <c r="B132" s="28" t="s">
        <v>608</v>
      </c>
      <c r="C132" s="26" t="s">
        <v>609</v>
      </c>
      <c r="D132" s="27">
        <v>977</v>
      </c>
      <c r="E132" s="26" t="s">
        <v>57</v>
      </c>
      <c r="F132" s="26" t="s">
        <v>596</v>
      </c>
    </row>
    <row r="133" spans="2:6" x14ac:dyDescent="0.25">
      <c r="B133" s="28" t="s">
        <v>606</v>
      </c>
      <c r="C133" s="26" t="s">
        <v>607</v>
      </c>
      <c r="D133" s="27">
        <v>140</v>
      </c>
      <c r="E133" s="26" t="s">
        <v>55</v>
      </c>
      <c r="F133" s="26" t="s">
        <v>596</v>
      </c>
    </row>
    <row r="134" spans="2:6" x14ac:dyDescent="0.25">
      <c r="B134" s="28" t="s">
        <v>604</v>
      </c>
      <c r="C134" s="26" t="s">
        <v>605</v>
      </c>
      <c r="D134" s="27">
        <v>63</v>
      </c>
      <c r="E134" s="26" t="s">
        <v>27</v>
      </c>
      <c r="F134" s="26" t="s">
        <v>596</v>
      </c>
    </row>
    <row r="135" spans="2:6" x14ac:dyDescent="0.25">
      <c r="B135" s="28" t="s">
        <v>602</v>
      </c>
      <c r="C135" s="26" t="s">
        <v>603</v>
      </c>
      <c r="D135" s="27">
        <v>1</v>
      </c>
      <c r="E135" s="26" t="s">
        <v>25</v>
      </c>
      <c r="F135" s="26" t="s">
        <v>596</v>
      </c>
    </row>
    <row r="136" spans="2:6" x14ac:dyDescent="0.25">
      <c r="B136" s="28" t="s">
        <v>599</v>
      </c>
      <c r="C136" s="26" t="s">
        <v>600</v>
      </c>
      <c r="D136" s="27">
        <v>584</v>
      </c>
      <c r="E136" s="26" t="s">
        <v>53</v>
      </c>
      <c r="F136" s="26" t="s">
        <v>596</v>
      </c>
    </row>
    <row r="137" spans="2:6" x14ac:dyDescent="0.25">
      <c r="B137" s="28" t="s">
        <v>598</v>
      </c>
      <c r="C137" s="26" t="s">
        <v>601</v>
      </c>
      <c r="D137" s="27">
        <v>5</v>
      </c>
      <c r="E137" s="26" t="s">
        <v>21</v>
      </c>
      <c r="F137" s="26" t="s">
        <v>596</v>
      </c>
    </row>
    <row r="138" spans="2:6" x14ac:dyDescent="0.25">
      <c r="B138" s="28" t="s">
        <v>595</v>
      </c>
      <c r="C138" s="26" t="s">
        <v>597</v>
      </c>
      <c r="D138" s="27">
        <v>74</v>
      </c>
      <c r="E138" s="26" t="s">
        <v>15</v>
      </c>
      <c r="F138" s="26" t="s">
        <v>596</v>
      </c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E3B53-D8A8-44D3-9AFB-924F96781B27}">
  <sheetPr codeName="Planilha2"/>
  <dimension ref="A1:G145"/>
  <sheetViews>
    <sheetView zoomScale="85" zoomScaleNormal="85" workbookViewId="0">
      <pane ySplit="1" topLeftCell="A2" activePane="bottomLeft" state="frozen"/>
      <selection pane="bottomLeft" activeCell="C4" sqref="C4"/>
    </sheetView>
  </sheetViews>
  <sheetFormatPr defaultRowHeight="15" x14ac:dyDescent="0.25"/>
  <cols>
    <col min="1" max="1" width="20.28515625" style="13" bestFit="1" customWidth="1"/>
    <col min="2" max="3" width="18.5703125" bestFit="1" customWidth="1"/>
    <col min="4" max="4" width="15.5703125" bestFit="1" customWidth="1"/>
    <col min="5" max="5" width="14.85546875" bestFit="1" customWidth="1"/>
    <col min="6" max="6" width="22.85546875" bestFit="1" customWidth="1"/>
    <col min="7" max="7" width="21.28515625" customWidth="1"/>
  </cols>
  <sheetData>
    <row r="1" spans="1:7" x14ac:dyDescent="0.25">
      <c r="A1" s="11" t="s">
        <v>4</v>
      </c>
      <c r="B1" s="1" t="s">
        <v>6</v>
      </c>
      <c r="C1" s="1" t="s">
        <v>5</v>
      </c>
      <c r="D1" s="1" t="s">
        <v>1</v>
      </c>
      <c r="E1" s="1" t="s">
        <v>7</v>
      </c>
      <c r="F1" s="1" t="s">
        <v>0</v>
      </c>
      <c r="G1" s="2" t="s">
        <v>3</v>
      </c>
    </row>
    <row r="2" spans="1:7" x14ac:dyDescent="0.25">
      <c r="A2" s="25">
        <v>45600.50079583333</v>
      </c>
      <c r="B2" s="26" t="s">
        <v>1167</v>
      </c>
      <c r="C2" s="26">
        <v>-50</v>
      </c>
      <c r="D2" s="26">
        <v>23060012322</v>
      </c>
      <c r="E2" s="26" t="s">
        <v>1095</v>
      </c>
      <c r="F2" s="26" t="s">
        <v>1110</v>
      </c>
      <c r="G2" s="27" t="str">
        <f>IF(Rastreabilidade[[#This Row],[Quantidade]]&gt;0,"Entrada",IF(Rastreabilidade[[#This Row],[Quantidade]]&lt;0,"Saída",""))</f>
        <v>Saída</v>
      </c>
    </row>
    <row r="3" spans="1:7" x14ac:dyDescent="0.25">
      <c r="A3" s="25">
        <v>45600.498649074078</v>
      </c>
      <c r="B3" s="26" t="s">
        <v>1114</v>
      </c>
      <c r="C3" s="26">
        <v>-20</v>
      </c>
      <c r="D3" s="26">
        <v>2408108516</v>
      </c>
      <c r="E3" s="26" t="s">
        <v>1106</v>
      </c>
      <c r="F3" s="26" t="s">
        <v>1110</v>
      </c>
      <c r="G3" s="27" t="str">
        <f>IF(Rastreabilidade[[#This Row],[Quantidade]]&gt;0,"Entrada",IF(Rastreabilidade[[#This Row],[Quantidade]]&lt;0,"Saída",""))</f>
        <v>Saída</v>
      </c>
    </row>
    <row r="4" spans="1:7" x14ac:dyDescent="0.25">
      <c r="A4" s="25">
        <v>45600.498361689817</v>
      </c>
      <c r="B4" s="26" t="s">
        <v>1121</v>
      </c>
      <c r="C4" s="26">
        <v>-20</v>
      </c>
      <c r="D4" s="26">
        <v>2408108511</v>
      </c>
      <c r="E4" s="26" t="s">
        <v>1084</v>
      </c>
      <c r="F4" s="26" t="s">
        <v>1110</v>
      </c>
      <c r="G4" s="27" t="str">
        <f>IF(Rastreabilidade[[#This Row],[Quantidade]]&gt;0,"Entrada",IF(Rastreabilidade[[#This Row],[Quantidade]]&lt;0,"Saída",""))</f>
        <v>Saída</v>
      </c>
    </row>
    <row r="5" spans="1:7" x14ac:dyDescent="0.25">
      <c r="A5" s="25">
        <v>45600.497805324077</v>
      </c>
      <c r="B5" s="26" t="s">
        <v>1126</v>
      </c>
      <c r="C5" s="26">
        <v>-30</v>
      </c>
      <c r="D5" s="26">
        <v>23110013346</v>
      </c>
      <c r="E5" s="26" t="s">
        <v>1086</v>
      </c>
      <c r="F5" s="26" t="s">
        <v>1110</v>
      </c>
      <c r="G5" s="27" t="str">
        <f>IF(Rastreabilidade[[#This Row],[Quantidade]]&gt;0,"Entrada",IF(Rastreabilidade[[#This Row],[Quantidade]]&lt;0,"Saída",""))</f>
        <v>Saída</v>
      </c>
    </row>
    <row r="6" spans="1:7" x14ac:dyDescent="0.25">
      <c r="A6" s="25">
        <v>45596.502507638892</v>
      </c>
      <c r="B6" s="26" t="s">
        <v>1162</v>
      </c>
      <c r="C6" s="26">
        <v>48</v>
      </c>
      <c r="D6" s="26">
        <v>23080012709</v>
      </c>
      <c r="E6" s="26" t="s">
        <v>1104</v>
      </c>
      <c r="F6" s="26" t="s">
        <v>1110</v>
      </c>
      <c r="G6" s="27" t="str">
        <f>IF(Rastreabilidade[[#This Row],[Quantidade]]&gt;0,"Entrada",IF(Rastreabilidade[[#This Row],[Quantidade]]&lt;0,"Saída",""))</f>
        <v>Entrada</v>
      </c>
    </row>
    <row r="7" spans="1:7" x14ac:dyDescent="0.25">
      <c r="A7" s="25">
        <v>45596.502209375001</v>
      </c>
      <c r="B7" s="26" t="s">
        <v>1162</v>
      </c>
      <c r="C7" s="26">
        <v>80</v>
      </c>
      <c r="D7" s="26">
        <v>23090012988</v>
      </c>
      <c r="E7" s="26" t="s">
        <v>1104</v>
      </c>
      <c r="F7" s="26" t="s">
        <v>1110</v>
      </c>
      <c r="G7" s="27" t="str">
        <f>IF(Rastreabilidade[[#This Row],[Quantidade]]&gt;0,"Entrada",IF(Rastreabilidade[[#This Row],[Quantidade]]&lt;0,"Saída",""))</f>
        <v>Entrada</v>
      </c>
    </row>
    <row r="8" spans="1:7" x14ac:dyDescent="0.25">
      <c r="A8" s="25">
        <v>45596.501259606484</v>
      </c>
      <c r="B8" s="26" t="s">
        <v>1162</v>
      </c>
      <c r="C8" s="26">
        <v>2</v>
      </c>
      <c r="D8" s="26">
        <v>22100010326</v>
      </c>
      <c r="E8" s="26" t="s">
        <v>1104</v>
      </c>
      <c r="F8" s="26" t="s">
        <v>1110</v>
      </c>
      <c r="G8" s="27" t="str">
        <f>IF(Rastreabilidade[[#This Row],[Quantidade]]&gt;0,"Entrada",IF(Rastreabilidade[[#This Row],[Quantidade]]&lt;0,"Saída",""))</f>
        <v>Entrada</v>
      </c>
    </row>
    <row r="9" spans="1:7" x14ac:dyDescent="0.25">
      <c r="A9" s="25">
        <v>45596.500672106478</v>
      </c>
      <c r="B9" s="26" t="s">
        <v>1162</v>
      </c>
      <c r="C9" s="26">
        <v>70</v>
      </c>
      <c r="D9" s="26">
        <v>23100013177</v>
      </c>
      <c r="E9" s="26" t="s">
        <v>1104</v>
      </c>
      <c r="F9" s="26" t="s">
        <v>1110</v>
      </c>
      <c r="G9" s="27" t="str">
        <f>IF(Rastreabilidade[[#This Row],[Quantidade]]&gt;0,"Entrada",IF(Rastreabilidade[[#This Row],[Quantidade]]&lt;0,"Saída",""))</f>
        <v>Entrada</v>
      </c>
    </row>
    <row r="10" spans="1:7" x14ac:dyDescent="0.25">
      <c r="A10" s="25">
        <v>45596.500045949077</v>
      </c>
      <c r="B10" s="26" t="s">
        <v>1160</v>
      </c>
      <c r="C10" s="26">
        <v>20</v>
      </c>
      <c r="D10" s="26">
        <v>22090010126</v>
      </c>
      <c r="E10" s="26" t="s">
        <v>1103</v>
      </c>
      <c r="F10" s="26" t="s">
        <v>1110</v>
      </c>
      <c r="G10" s="27" t="str">
        <f>IF(Rastreabilidade[[#This Row],[Quantidade]]&gt;0,"Entrada",IF(Rastreabilidade[[#This Row],[Quantidade]]&lt;0,"Saída",""))</f>
        <v>Entrada</v>
      </c>
    </row>
    <row r="11" spans="1:7" x14ac:dyDescent="0.25">
      <c r="A11" s="25">
        <v>45596.49953854167</v>
      </c>
      <c r="B11" s="26" t="s">
        <v>1158</v>
      </c>
      <c r="C11" s="26">
        <v>50</v>
      </c>
      <c r="D11" s="26">
        <v>240245779</v>
      </c>
      <c r="E11" s="26" t="s">
        <v>1102</v>
      </c>
      <c r="F11" s="26" t="s">
        <v>1110</v>
      </c>
      <c r="G11" s="27" t="str">
        <f>IF(Rastreabilidade[[#This Row],[Quantidade]]&gt;0,"Entrada",IF(Rastreabilidade[[#This Row],[Quantidade]]&lt;0,"Saída",""))</f>
        <v>Entrada</v>
      </c>
    </row>
    <row r="12" spans="1:7" x14ac:dyDescent="0.25">
      <c r="A12" s="25">
        <v>45596.499097222222</v>
      </c>
      <c r="B12" s="26" t="s">
        <v>1156</v>
      </c>
      <c r="C12" s="26">
        <v>20</v>
      </c>
      <c r="D12" s="26">
        <v>2207009255</v>
      </c>
      <c r="E12" s="26" t="s">
        <v>1101</v>
      </c>
      <c r="F12" s="26" t="s">
        <v>1110</v>
      </c>
      <c r="G12" s="27" t="str">
        <f>IF(Rastreabilidade[[#This Row],[Quantidade]]&gt;0,"Entrada",IF(Rastreabilidade[[#This Row],[Quantidade]]&lt;0,"Saída",""))</f>
        <v>Entrada</v>
      </c>
    </row>
    <row r="13" spans="1:7" x14ac:dyDescent="0.25">
      <c r="A13" s="25">
        <v>45596.498710879627</v>
      </c>
      <c r="B13" s="26" t="s">
        <v>1154</v>
      </c>
      <c r="C13" s="26">
        <v>5</v>
      </c>
      <c r="D13" s="26">
        <v>1603170011</v>
      </c>
      <c r="E13" s="26" t="s">
        <v>1100</v>
      </c>
      <c r="F13" s="26" t="s">
        <v>628</v>
      </c>
      <c r="G13" s="27" t="str">
        <f>IF(Rastreabilidade[[#This Row],[Quantidade]]&gt;0,"Entrada",IF(Rastreabilidade[[#This Row],[Quantidade]]&lt;0,"Saída",""))</f>
        <v>Entrada</v>
      </c>
    </row>
    <row r="14" spans="1:7" x14ac:dyDescent="0.25">
      <c r="A14" s="25">
        <v>45596.497876851849</v>
      </c>
      <c r="B14" s="26" t="s">
        <v>1152</v>
      </c>
      <c r="C14" s="26">
        <v>89</v>
      </c>
      <c r="D14" s="26">
        <v>23040011834</v>
      </c>
      <c r="E14" s="26" t="s">
        <v>1099</v>
      </c>
      <c r="F14" s="26" t="s">
        <v>1110</v>
      </c>
      <c r="G14" s="27" t="str">
        <f>IF(Rastreabilidade[[#This Row],[Quantidade]]&gt;0,"Entrada",IF(Rastreabilidade[[#This Row],[Quantidade]]&lt;0,"Saída",""))</f>
        <v>Entrada</v>
      </c>
    </row>
    <row r="15" spans="1:7" x14ac:dyDescent="0.25">
      <c r="A15" s="25">
        <v>45596.497489814814</v>
      </c>
      <c r="B15" s="26" t="s">
        <v>1149</v>
      </c>
      <c r="C15" s="26">
        <v>100</v>
      </c>
      <c r="D15" s="26">
        <v>2408108512</v>
      </c>
      <c r="E15" s="26" t="s">
        <v>1098</v>
      </c>
      <c r="F15" s="26" t="s">
        <v>1110</v>
      </c>
      <c r="G15" s="27" t="str">
        <f>IF(Rastreabilidade[[#This Row],[Quantidade]]&gt;0,"Entrada",IF(Rastreabilidade[[#This Row],[Quantidade]]&lt;0,"Saída",""))</f>
        <v>Entrada</v>
      </c>
    </row>
    <row r="16" spans="1:7" x14ac:dyDescent="0.25">
      <c r="A16" s="25">
        <v>45596.49726851852</v>
      </c>
      <c r="B16" s="26" t="s">
        <v>1149</v>
      </c>
      <c r="C16" s="26">
        <v>5</v>
      </c>
      <c r="D16" s="26">
        <v>23010011395</v>
      </c>
      <c r="E16" s="26" t="s">
        <v>1098</v>
      </c>
      <c r="F16" s="26" t="s">
        <v>1110</v>
      </c>
      <c r="G16" s="27" t="str">
        <f>IF(Rastreabilidade[[#This Row],[Quantidade]]&gt;0,"Entrada",IF(Rastreabilidade[[#This Row],[Quantidade]]&lt;0,"Saída",""))</f>
        <v>Entrada</v>
      </c>
    </row>
    <row r="17" spans="1:7" x14ac:dyDescent="0.25">
      <c r="A17" s="25">
        <v>45596.496654976851</v>
      </c>
      <c r="B17" s="26" t="s">
        <v>1147</v>
      </c>
      <c r="C17" s="26">
        <v>78</v>
      </c>
      <c r="D17" s="26">
        <v>240245777</v>
      </c>
      <c r="E17" s="26" t="s">
        <v>1096</v>
      </c>
      <c r="F17" s="26" t="s">
        <v>1110</v>
      </c>
      <c r="G17" s="27" t="str">
        <f>IF(Rastreabilidade[[#This Row],[Quantidade]]&gt;0,"Entrada",IF(Rastreabilidade[[#This Row],[Quantidade]]&lt;0,"Saída",""))</f>
        <v>Entrada</v>
      </c>
    </row>
    <row r="18" spans="1:7" x14ac:dyDescent="0.25">
      <c r="A18" s="25">
        <v>45596.496105787039</v>
      </c>
      <c r="B18" s="26" t="s">
        <v>1167</v>
      </c>
      <c r="C18" s="26">
        <v>60</v>
      </c>
      <c r="D18" s="26">
        <v>23090012989</v>
      </c>
      <c r="E18" s="26" t="s">
        <v>1095</v>
      </c>
      <c r="F18" s="26" t="s">
        <v>1110</v>
      </c>
      <c r="G18" s="27" t="str">
        <f>IF(Rastreabilidade[[#This Row],[Quantidade]]&gt;0,"Entrada",IF(Rastreabilidade[[#This Row],[Quantidade]]&lt;0,"Saída",""))</f>
        <v>Entrada</v>
      </c>
    </row>
    <row r="19" spans="1:7" x14ac:dyDescent="0.25">
      <c r="A19" s="25">
        <v>45596.495764930558</v>
      </c>
      <c r="B19" s="26" t="s">
        <v>1167</v>
      </c>
      <c r="C19" s="26">
        <v>215</v>
      </c>
      <c r="D19" s="26">
        <v>23060012322</v>
      </c>
      <c r="E19" s="26" t="s">
        <v>1095</v>
      </c>
      <c r="F19" s="26" t="s">
        <v>1110</v>
      </c>
      <c r="G19" s="27" t="str">
        <f>IF(Rastreabilidade[[#This Row],[Quantidade]]&gt;0,"Entrada",IF(Rastreabilidade[[#This Row],[Quantidade]]&lt;0,"Saída",""))</f>
        <v>Entrada</v>
      </c>
    </row>
    <row r="20" spans="1:7" x14ac:dyDescent="0.25">
      <c r="A20" s="25">
        <v>45596.495523611113</v>
      </c>
      <c r="B20" s="26" t="s">
        <v>1167</v>
      </c>
      <c r="C20" s="26">
        <v>61</v>
      </c>
      <c r="D20" s="26">
        <v>23010011109</v>
      </c>
      <c r="E20" s="26" t="s">
        <v>1095</v>
      </c>
      <c r="F20" s="26" t="s">
        <v>1110</v>
      </c>
      <c r="G20" s="27" t="str">
        <f>IF(Rastreabilidade[[#This Row],[Quantidade]]&gt;0,"Entrada",IF(Rastreabilidade[[#This Row],[Quantidade]]&lt;0,"Saída",""))</f>
        <v>Entrada</v>
      </c>
    </row>
    <row r="21" spans="1:7" x14ac:dyDescent="0.25">
      <c r="A21" s="25">
        <v>45596.49503784722</v>
      </c>
      <c r="B21" s="26" t="s">
        <v>1142</v>
      </c>
      <c r="C21" s="26">
        <v>50</v>
      </c>
      <c r="D21" s="26">
        <v>2408108515</v>
      </c>
      <c r="E21" s="26" t="s">
        <v>1093</v>
      </c>
      <c r="F21" s="26" t="s">
        <v>1110</v>
      </c>
      <c r="G21" s="27" t="str">
        <f>IF(Rastreabilidade[[#This Row],[Quantidade]]&gt;0,"Entrada",IF(Rastreabilidade[[#This Row],[Quantidade]]&lt;0,"Saída",""))</f>
        <v>Entrada</v>
      </c>
    </row>
    <row r="22" spans="1:7" x14ac:dyDescent="0.25">
      <c r="A22" s="25">
        <v>45596.494563888889</v>
      </c>
      <c r="B22" s="26" t="s">
        <v>1140</v>
      </c>
      <c r="C22" s="26">
        <v>67</v>
      </c>
      <c r="D22" s="26">
        <v>22120011053</v>
      </c>
      <c r="E22" s="26" t="s">
        <v>1091</v>
      </c>
      <c r="F22" s="26" t="s">
        <v>1110</v>
      </c>
      <c r="G22" s="27" t="str">
        <f>IF(Rastreabilidade[[#This Row],[Quantidade]]&gt;0,"Entrada",IF(Rastreabilidade[[#This Row],[Quantidade]]&lt;0,"Saída",""))</f>
        <v>Entrada</v>
      </c>
    </row>
    <row r="23" spans="1:7" x14ac:dyDescent="0.25">
      <c r="A23" s="25">
        <v>45596.493989236114</v>
      </c>
      <c r="B23" s="26" t="s">
        <v>1138</v>
      </c>
      <c r="C23" s="26">
        <v>58</v>
      </c>
      <c r="D23" s="26">
        <v>23030012103</v>
      </c>
      <c r="E23" s="26" t="s">
        <v>1090</v>
      </c>
      <c r="F23" s="26" t="s">
        <v>1110</v>
      </c>
      <c r="G23" s="27" t="str">
        <f>IF(Rastreabilidade[[#This Row],[Quantidade]]&gt;0,"Entrada",IF(Rastreabilidade[[#This Row],[Quantidade]]&lt;0,"Saída",""))</f>
        <v>Entrada</v>
      </c>
    </row>
    <row r="24" spans="1:7" x14ac:dyDescent="0.25">
      <c r="A24" s="25">
        <v>45596.485160879631</v>
      </c>
      <c r="B24" s="26" t="s">
        <v>1136</v>
      </c>
      <c r="C24" s="26">
        <v>50</v>
      </c>
      <c r="D24" s="26">
        <v>23090012986</v>
      </c>
      <c r="E24" s="26" t="s">
        <v>1089</v>
      </c>
      <c r="F24" s="26" t="s">
        <v>1110</v>
      </c>
      <c r="G24" s="27" t="str">
        <f>IF(Rastreabilidade[[#This Row],[Quantidade]]&gt;0,"Entrada",IF(Rastreabilidade[[#This Row],[Quantidade]]&lt;0,"Saída",""))</f>
        <v>Entrada</v>
      </c>
    </row>
    <row r="25" spans="1:7" x14ac:dyDescent="0.25">
      <c r="A25" s="25">
        <v>45596.484687384262</v>
      </c>
      <c r="B25" s="26" t="s">
        <v>1133</v>
      </c>
      <c r="C25" s="26">
        <v>51</v>
      </c>
      <c r="D25" s="26">
        <v>23060012408</v>
      </c>
      <c r="E25" s="26" t="s">
        <v>1088</v>
      </c>
      <c r="F25" s="26" t="s">
        <v>1134</v>
      </c>
      <c r="G25" s="27" t="str">
        <f>IF(Rastreabilidade[[#This Row],[Quantidade]]&gt;0,"Entrada",IF(Rastreabilidade[[#This Row],[Quantidade]]&lt;0,"Saída",""))</f>
        <v>Entrada</v>
      </c>
    </row>
    <row r="26" spans="1:7" x14ac:dyDescent="0.25">
      <c r="A26" s="25">
        <v>45596.483618055558</v>
      </c>
      <c r="B26" s="26" t="s">
        <v>1130</v>
      </c>
      <c r="C26" s="26">
        <v>215</v>
      </c>
      <c r="D26" s="26">
        <v>23070012674</v>
      </c>
      <c r="E26" s="26" t="s">
        <v>1087</v>
      </c>
      <c r="F26" s="26" t="s">
        <v>1110</v>
      </c>
      <c r="G26" s="27" t="str">
        <f>IF(Rastreabilidade[[#This Row],[Quantidade]]&gt;0,"Entrada",IF(Rastreabilidade[[#This Row],[Quantidade]]&lt;0,"Saída",""))</f>
        <v>Entrada</v>
      </c>
    </row>
    <row r="27" spans="1:7" x14ac:dyDescent="0.25">
      <c r="A27" s="25">
        <v>45596.483251157406</v>
      </c>
      <c r="B27" s="26" t="s">
        <v>1130</v>
      </c>
      <c r="C27" s="26">
        <v>238</v>
      </c>
      <c r="D27" s="26">
        <v>23080012799</v>
      </c>
      <c r="E27" s="26" t="s">
        <v>1087</v>
      </c>
      <c r="F27" s="26" t="s">
        <v>1110</v>
      </c>
      <c r="G27" s="27" t="str">
        <f>IF(Rastreabilidade[[#This Row],[Quantidade]]&gt;0,"Entrada",IF(Rastreabilidade[[#This Row],[Quantidade]]&lt;0,"Saída",""))</f>
        <v>Entrada</v>
      </c>
    </row>
    <row r="28" spans="1:7" x14ac:dyDescent="0.25">
      <c r="A28" s="25">
        <v>45596.48253912037</v>
      </c>
      <c r="B28" s="26" t="s">
        <v>1126</v>
      </c>
      <c r="C28" s="26">
        <v>80</v>
      </c>
      <c r="D28" s="26">
        <v>2207009345</v>
      </c>
      <c r="E28" s="26" t="s">
        <v>1086</v>
      </c>
      <c r="F28" s="26" t="s">
        <v>1110</v>
      </c>
      <c r="G28" s="27" t="str">
        <f>IF(Rastreabilidade[[#This Row],[Quantidade]]&gt;0,"Entrada",IF(Rastreabilidade[[#This Row],[Quantidade]]&lt;0,"Saída",""))</f>
        <v>Entrada</v>
      </c>
    </row>
    <row r="29" spans="1:7" x14ac:dyDescent="0.25">
      <c r="A29" s="25">
        <v>45596.48205150463</v>
      </c>
      <c r="B29" s="26" t="s">
        <v>1126</v>
      </c>
      <c r="C29" s="26">
        <v>99</v>
      </c>
      <c r="D29" s="26">
        <v>231228847</v>
      </c>
      <c r="E29" s="26" t="s">
        <v>1086</v>
      </c>
      <c r="F29" s="26" t="s">
        <v>1110</v>
      </c>
      <c r="G29" s="27" t="str">
        <f>IF(Rastreabilidade[[#This Row],[Quantidade]]&gt;0,"Entrada",IF(Rastreabilidade[[#This Row],[Quantidade]]&lt;0,"Saída",""))</f>
        <v>Entrada</v>
      </c>
    </row>
    <row r="30" spans="1:7" x14ac:dyDescent="0.25">
      <c r="A30" s="25">
        <v>45596.481355324075</v>
      </c>
      <c r="B30" s="26" t="s">
        <v>1126</v>
      </c>
      <c r="C30" s="26">
        <v>102</v>
      </c>
      <c r="D30" s="26">
        <v>240571303</v>
      </c>
      <c r="E30" s="26" t="s">
        <v>1086</v>
      </c>
      <c r="F30" s="26" t="s">
        <v>1110</v>
      </c>
      <c r="G30" s="27" t="str">
        <f>IF(Rastreabilidade[[#This Row],[Quantidade]]&gt;0,"Entrada",IF(Rastreabilidade[[#This Row],[Quantidade]]&lt;0,"Saída",""))</f>
        <v>Entrada</v>
      </c>
    </row>
    <row r="31" spans="1:7" x14ac:dyDescent="0.25">
      <c r="A31" s="25">
        <v>45596.480785300926</v>
      </c>
      <c r="B31" s="26" t="s">
        <v>1126</v>
      </c>
      <c r="C31" s="26">
        <v>30</v>
      </c>
      <c r="D31" s="26">
        <v>23110013346</v>
      </c>
      <c r="E31" s="26" t="s">
        <v>1086</v>
      </c>
      <c r="F31" s="26" t="s">
        <v>1110</v>
      </c>
      <c r="G31" s="27" t="str">
        <f>IF(Rastreabilidade[[#This Row],[Quantidade]]&gt;0,"Entrada",IF(Rastreabilidade[[#This Row],[Quantidade]]&lt;0,"Saída",""))</f>
        <v>Entrada</v>
      </c>
    </row>
    <row r="32" spans="1:7" x14ac:dyDescent="0.25">
      <c r="A32" s="25">
        <v>45596.480350115744</v>
      </c>
      <c r="B32" s="26" t="s">
        <v>1123</v>
      </c>
      <c r="C32" s="26">
        <v>150</v>
      </c>
      <c r="D32" s="26">
        <v>240571305</v>
      </c>
      <c r="E32" s="26" t="s">
        <v>1085</v>
      </c>
      <c r="F32" s="26" t="s">
        <v>1110</v>
      </c>
      <c r="G32" s="27" t="str">
        <f>IF(Rastreabilidade[[#This Row],[Quantidade]]&gt;0,"Entrada",IF(Rastreabilidade[[#This Row],[Quantidade]]&lt;0,"Saída",""))</f>
        <v>Entrada</v>
      </c>
    </row>
    <row r="33" spans="1:7" x14ac:dyDescent="0.25">
      <c r="A33" s="25">
        <v>45596.479481944443</v>
      </c>
      <c r="B33" s="26" t="s">
        <v>1123</v>
      </c>
      <c r="C33" s="26">
        <v>50</v>
      </c>
      <c r="D33" s="26">
        <v>23110013348</v>
      </c>
      <c r="E33" s="26" t="s">
        <v>1085</v>
      </c>
      <c r="F33" s="26" t="s">
        <v>1110</v>
      </c>
      <c r="G33" s="27" t="str">
        <f>IF(Rastreabilidade[[#This Row],[Quantidade]]&gt;0,"Entrada",IF(Rastreabilidade[[#This Row],[Quantidade]]&lt;0,"Saída",""))</f>
        <v>Entrada</v>
      </c>
    </row>
    <row r="34" spans="1:7" x14ac:dyDescent="0.25">
      <c r="A34" s="25">
        <v>45596.479109143518</v>
      </c>
      <c r="B34" s="26" t="s">
        <v>1121</v>
      </c>
      <c r="C34" s="26">
        <v>207</v>
      </c>
      <c r="D34" s="26">
        <v>2408108511</v>
      </c>
      <c r="E34" s="26" t="s">
        <v>1084</v>
      </c>
      <c r="F34" s="26" t="s">
        <v>1110</v>
      </c>
      <c r="G34" s="27" t="str">
        <f>IF(Rastreabilidade[[#This Row],[Quantidade]]&gt;0,"Entrada",IF(Rastreabilidade[[#This Row],[Quantidade]]&lt;0,"Saída",""))</f>
        <v>Entrada</v>
      </c>
    </row>
    <row r="35" spans="1:7" x14ac:dyDescent="0.25">
      <c r="A35" s="25">
        <v>45596.478718634258</v>
      </c>
      <c r="B35" s="26" t="s">
        <v>1082</v>
      </c>
      <c r="C35" s="26">
        <v>101</v>
      </c>
      <c r="D35" s="26">
        <v>240571304</v>
      </c>
      <c r="E35" s="26" t="s">
        <v>1083</v>
      </c>
      <c r="F35" s="26" t="s">
        <v>1110</v>
      </c>
      <c r="G35" s="27" t="str">
        <f>IF(Rastreabilidade[[#This Row],[Quantidade]]&gt;0,"Entrada",IF(Rastreabilidade[[#This Row],[Quantidade]]&lt;0,"Saída",""))</f>
        <v>Entrada</v>
      </c>
    </row>
    <row r="36" spans="1:7" x14ac:dyDescent="0.25">
      <c r="A36" s="25">
        <v>45596.477896643519</v>
      </c>
      <c r="B36" s="26" t="s">
        <v>1112</v>
      </c>
      <c r="C36" s="26">
        <v>364</v>
      </c>
      <c r="D36" s="26">
        <v>23060012323</v>
      </c>
      <c r="E36" s="26" t="s">
        <v>1108</v>
      </c>
      <c r="F36" s="26" t="s">
        <v>628</v>
      </c>
      <c r="G36" s="27" t="str">
        <f>IF(Rastreabilidade[[#This Row],[Quantidade]]&gt;0,"Entrada",IF(Rastreabilidade[[#This Row],[Quantidade]]&lt;0,"Saída",""))</f>
        <v>Entrada</v>
      </c>
    </row>
    <row r="37" spans="1:7" x14ac:dyDescent="0.25">
      <c r="A37" s="25">
        <v>45596.47708553241</v>
      </c>
      <c r="B37" s="26" t="s">
        <v>1116</v>
      </c>
      <c r="C37" s="26">
        <v>5</v>
      </c>
      <c r="D37" s="26">
        <v>22100010324</v>
      </c>
      <c r="E37" s="26" t="s">
        <v>1107</v>
      </c>
      <c r="F37" s="26" t="s">
        <v>1110</v>
      </c>
      <c r="G37" s="27" t="str">
        <f>IF(Rastreabilidade[[#This Row],[Quantidade]]&gt;0,"Entrada",IF(Rastreabilidade[[#This Row],[Quantidade]]&lt;0,"Saída",""))</f>
        <v>Entrada</v>
      </c>
    </row>
    <row r="38" spans="1:7" x14ac:dyDescent="0.25">
      <c r="A38" s="25">
        <v>45596.476198379627</v>
      </c>
      <c r="B38" s="26" t="s">
        <v>1116</v>
      </c>
      <c r="C38" s="26">
        <v>150</v>
      </c>
      <c r="D38" s="26">
        <v>231228853</v>
      </c>
      <c r="E38" s="26" t="s">
        <v>1107</v>
      </c>
      <c r="F38" s="26" t="s">
        <v>1110</v>
      </c>
      <c r="G38" s="27" t="str">
        <f>IF(Rastreabilidade[[#This Row],[Quantidade]]&gt;0,"Entrada",IF(Rastreabilidade[[#This Row],[Quantidade]]&lt;0,"Saída",""))</f>
        <v>Entrada</v>
      </c>
    </row>
    <row r="39" spans="1:7" x14ac:dyDescent="0.25">
      <c r="A39" s="25">
        <v>45596.475799884262</v>
      </c>
      <c r="B39" s="26" t="s">
        <v>1114</v>
      </c>
      <c r="C39" s="26">
        <v>140</v>
      </c>
      <c r="D39" s="26">
        <v>2408108516</v>
      </c>
      <c r="E39" s="26" t="s">
        <v>1106</v>
      </c>
      <c r="F39" s="26" t="s">
        <v>1110</v>
      </c>
      <c r="G39" s="27" t="str">
        <f>IF(Rastreabilidade[[#This Row],[Quantidade]]&gt;0,"Entrada",IF(Rastreabilidade[[#This Row],[Quantidade]]&lt;0,"Saída",""))</f>
        <v>Entrada</v>
      </c>
    </row>
    <row r="40" spans="1:7" x14ac:dyDescent="0.25">
      <c r="A40" s="25">
        <v>45596.475370949076</v>
      </c>
      <c r="B40" s="26" t="s">
        <v>1112</v>
      </c>
      <c r="C40" s="26">
        <v>237</v>
      </c>
      <c r="D40" s="26">
        <v>2408108509</v>
      </c>
      <c r="E40" s="26" t="s">
        <v>1108</v>
      </c>
      <c r="F40" s="26" t="s">
        <v>1110</v>
      </c>
      <c r="G40" s="27" t="str">
        <f>IF(Rastreabilidade[[#This Row],[Quantidade]]&gt;0,"Entrada",IF(Rastreabilidade[[#This Row],[Quantidade]]&lt;0,"Saída",""))</f>
        <v>Entrada</v>
      </c>
    </row>
    <row r="41" spans="1:7" x14ac:dyDescent="0.25">
      <c r="A41" s="25">
        <v>45596.474533101849</v>
      </c>
      <c r="B41" s="26" t="s">
        <v>1082</v>
      </c>
      <c r="C41" s="26">
        <v>200</v>
      </c>
      <c r="D41" s="26">
        <v>2408108510</v>
      </c>
      <c r="E41" s="26" t="s">
        <v>1083</v>
      </c>
      <c r="F41" s="26" t="s">
        <v>1110</v>
      </c>
      <c r="G41" s="27" t="str">
        <f>IF(Rastreabilidade[[#This Row],[Quantidade]]&gt;0,"Entrada",IF(Rastreabilidade[[#This Row],[Quantidade]]&lt;0,"Saída",""))</f>
        <v>Entrada</v>
      </c>
    </row>
    <row r="42" spans="1:7" x14ac:dyDescent="0.25">
      <c r="A42" s="25">
        <v>45596.470095833334</v>
      </c>
      <c r="B42" s="26" t="s">
        <v>1079</v>
      </c>
      <c r="C42" s="26">
        <v>78</v>
      </c>
      <c r="D42" s="26">
        <v>1967</v>
      </c>
      <c r="E42" s="26" t="s">
        <v>453</v>
      </c>
      <c r="F42" s="26" t="s">
        <v>1054</v>
      </c>
      <c r="G42" s="27" t="str">
        <f>IF(Rastreabilidade[[#This Row],[Quantidade]]&gt;0,"Entrada",IF(Rastreabilidade[[#This Row],[Quantidade]]&lt;0,"Saída",""))</f>
        <v>Entrada</v>
      </c>
    </row>
    <row r="43" spans="1:7" x14ac:dyDescent="0.25">
      <c r="A43" s="25">
        <v>45596.469044791666</v>
      </c>
      <c r="B43" s="26" t="s">
        <v>1077</v>
      </c>
      <c r="C43" s="26">
        <v>159</v>
      </c>
      <c r="D43" s="26">
        <v>481</v>
      </c>
      <c r="E43" s="26" t="s">
        <v>449</v>
      </c>
      <c r="F43" s="26" t="s">
        <v>1054</v>
      </c>
      <c r="G43" s="27" t="str">
        <f>IF(Rastreabilidade[[#This Row],[Quantidade]]&gt;0,"Entrada",IF(Rastreabilidade[[#This Row],[Quantidade]]&lt;0,"Saída",""))</f>
        <v>Entrada</v>
      </c>
    </row>
    <row r="44" spans="1:7" x14ac:dyDescent="0.25">
      <c r="A44" s="25">
        <v>45596.468644328706</v>
      </c>
      <c r="B44" s="26">
        <v>2813511120</v>
      </c>
      <c r="C44" s="26">
        <v>7</v>
      </c>
      <c r="D44" s="26">
        <v>1500001122</v>
      </c>
      <c r="E44" s="26" t="s">
        <v>441</v>
      </c>
      <c r="F44" s="26" t="s">
        <v>1054</v>
      </c>
      <c r="G44" s="27" t="str">
        <f>IF(Rastreabilidade[[#This Row],[Quantidade]]&gt;0,"Entrada",IF(Rastreabilidade[[#This Row],[Quantidade]]&lt;0,"Saída",""))</f>
        <v>Entrada</v>
      </c>
    </row>
    <row r="45" spans="1:7" x14ac:dyDescent="0.25">
      <c r="A45" s="25">
        <v>45596.468282870374</v>
      </c>
      <c r="B45" s="26" t="s">
        <v>1073</v>
      </c>
      <c r="C45" s="26">
        <v>6</v>
      </c>
      <c r="D45" s="26">
        <v>2614</v>
      </c>
      <c r="E45" s="26" t="s">
        <v>459</v>
      </c>
      <c r="F45" s="26" t="s">
        <v>1054</v>
      </c>
      <c r="G45" s="27" t="str">
        <f>IF(Rastreabilidade[[#This Row],[Quantidade]]&gt;0,"Entrada",IF(Rastreabilidade[[#This Row],[Quantidade]]&lt;0,"Saída",""))</f>
        <v>Entrada</v>
      </c>
    </row>
    <row r="46" spans="1:7" x14ac:dyDescent="0.25">
      <c r="A46" s="25">
        <v>45596.467846180552</v>
      </c>
      <c r="B46" s="26">
        <v>4210431530</v>
      </c>
      <c r="C46" s="26">
        <v>95</v>
      </c>
      <c r="D46" s="26">
        <v>1735</v>
      </c>
      <c r="E46" s="26" t="s">
        <v>461</v>
      </c>
      <c r="F46" s="26" t="s">
        <v>1054</v>
      </c>
      <c r="G46" s="27" t="str">
        <f>IF(Rastreabilidade[[#This Row],[Quantidade]]&gt;0,"Entrada",IF(Rastreabilidade[[#This Row],[Quantidade]]&lt;0,"Saída",""))</f>
        <v>Entrada</v>
      </c>
    </row>
    <row r="47" spans="1:7" x14ac:dyDescent="0.25">
      <c r="A47" s="25">
        <v>45596.466992708331</v>
      </c>
      <c r="B47" s="26" t="s">
        <v>1069</v>
      </c>
      <c r="C47" s="26">
        <v>8</v>
      </c>
      <c r="D47" s="26">
        <v>2328</v>
      </c>
      <c r="E47" s="26" t="s">
        <v>1064</v>
      </c>
      <c r="F47" s="26" t="s">
        <v>1054</v>
      </c>
      <c r="G47" s="27" t="str">
        <f>IF(Rastreabilidade[[#This Row],[Quantidade]]&gt;0,"Entrada",IF(Rastreabilidade[[#This Row],[Quantidade]]&lt;0,"Saída",""))</f>
        <v>Entrada</v>
      </c>
    </row>
    <row r="48" spans="1:7" x14ac:dyDescent="0.25">
      <c r="A48" s="25">
        <v>45596.466404166669</v>
      </c>
      <c r="B48" s="26">
        <v>10054240</v>
      </c>
      <c r="C48" s="26">
        <v>5</v>
      </c>
      <c r="D48" s="26">
        <v>1300000145</v>
      </c>
      <c r="E48" s="26" t="s">
        <v>451</v>
      </c>
      <c r="F48" s="26" t="s">
        <v>1054</v>
      </c>
      <c r="G48" s="27" t="str">
        <f>IF(Rastreabilidade[[#This Row],[Quantidade]]&gt;0,"Entrada",IF(Rastreabilidade[[#This Row],[Quantidade]]&lt;0,"Saída",""))</f>
        <v>Entrada</v>
      </c>
    </row>
    <row r="49" spans="1:7" x14ac:dyDescent="0.25">
      <c r="A49" s="25">
        <v>45596.465586342594</v>
      </c>
      <c r="B49" s="26" t="s">
        <v>1062</v>
      </c>
      <c r="C49" s="26">
        <v>8</v>
      </c>
      <c r="D49" s="26">
        <v>2247</v>
      </c>
      <c r="E49" s="26" t="s">
        <v>1063</v>
      </c>
      <c r="F49" s="26" t="s">
        <v>1054</v>
      </c>
      <c r="G49" s="27" t="str">
        <f>IF(Rastreabilidade[[#This Row],[Quantidade]]&gt;0,"Entrada",IF(Rastreabilidade[[#This Row],[Quantidade]]&lt;0,"Saída",""))</f>
        <v>Entrada</v>
      </c>
    </row>
    <row r="50" spans="1:7" x14ac:dyDescent="0.25">
      <c r="A50" s="25">
        <v>45596.463152662036</v>
      </c>
      <c r="B50" s="26" t="s">
        <v>1060</v>
      </c>
      <c r="C50" s="26">
        <v>182</v>
      </c>
      <c r="D50" s="26">
        <v>141</v>
      </c>
      <c r="E50" s="26" t="s">
        <v>443</v>
      </c>
      <c r="F50" s="26" t="s">
        <v>1054</v>
      </c>
      <c r="G50" s="27" t="str">
        <f>IF(Rastreabilidade[[#This Row],[Quantidade]]&gt;0,"Entrada",IF(Rastreabilidade[[#This Row],[Quantidade]]&lt;0,"Saída",""))</f>
        <v>Entrada</v>
      </c>
    </row>
    <row r="51" spans="1:7" x14ac:dyDescent="0.25">
      <c r="A51" s="25">
        <v>45596.462528587967</v>
      </c>
      <c r="B51" s="26" t="s">
        <v>1058</v>
      </c>
      <c r="C51" s="26">
        <v>20</v>
      </c>
      <c r="D51" s="26">
        <v>1400003485</v>
      </c>
      <c r="E51" s="26" t="s">
        <v>457</v>
      </c>
      <c r="F51" s="26" t="s">
        <v>1054</v>
      </c>
      <c r="G51" s="27" t="str">
        <f>IF(Rastreabilidade[[#This Row],[Quantidade]]&gt;0,"Entrada",IF(Rastreabilidade[[#This Row],[Quantidade]]&lt;0,"Saída",""))</f>
        <v>Entrada</v>
      </c>
    </row>
    <row r="52" spans="1:7" x14ac:dyDescent="0.25">
      <c r="A52" s="25">
        <v>45596.461521874997</v>
      </c>
      <c r="B52" s="26" t="s">
        <v>1056</v>
      </c>
      <c r="C52" s="26">
        <v>119</v>
      </c>
      <c r="D52" s="26">
        <v>15978</v>
      </c>
      <c r="E52" s="26" t="s">
        <v>447</v>
      </c>
      <c r="F52" s="26" t="s">
        <v>1054</v>
      </c>
      <c r="G52" s="27" t="str">
        <f>IF(Rastreabilidade[[#This Row],[Quantidade]]&gt;0,"Entrada",IF(Rastreabilidade[[#This Row],[Quantidade]]&lt;0,"Saída",""))</f>
        <v>Entrada</v>
      </c>
    </row>
    <row r="53" spans="1:7" x14ac:dyDescent="0.25">
      <c r="A53" s="25">
        <v>45596.459999421299</v>
      </c>
      <c r="B53" s="26" t="s">
        <v>1053</v>
      </c>
      <c r="C53" s="26">
        <v>3</v>
      </c>
      <c r="D53" s="26">
        <v>2647</v>
      </c>
      <c r="E53" s="26" t="s">
        <v>439</v>
      </c>
      <c r="F53" s="26" t="s">
        <v>1054</v>
      </c>
      <c r="G53" s="27" t="str">
        <f>IF(Rastreabilidade[[#This Row],[Quantidade]]&gt;0,"Entrada",IF(Rastreabilidade[[#This Row],[Quantidade]]&lt;0,"Saída",""))</f>
        <v>Entrada</v>
      </c>
    </row>
    <row r="54" spans="1:7" x14ac:dyDescent="0.25">
      <c r="A54" s="25">
        <v>45596.455447685184</v>
      </c>
      <c r="B54" s="26">
        <v>1247854130</v>
      </c>
      <c r="C54" s="26">
        <v>2</v>
      </c>
      <c r="D54" s="26">
        <v>2310</v>
      </c>
      <c r="E54" s="26" t="s">
        <v>271</v>
      </c>
      <c r="F54" s="26" t="s">
        <v>596</v>
      </c>
      <c r="G54" s="27" t="str">
        <f>IF(Rastreabilidade[[#This Row],[Quantidade]]&gt;0,"Entrada",IF(Rastreabilidade[[#This Row],[Quantidade]]&lt;0,"Saída",""))</f>
        <v>Entrada</v>
      </c>
    </row>
    <row r="55" spans="1:7" x14ac:dyDescent="0.25">
      <c r="A55" s="25">
        <v>45596.455110648145</v>
      </c>
      <c r="B55" s="26" t="s">
        <v>1048</v>
      </c>
      <c r="C55" s="26">
        <v>90</v>
      </c>
      <c r="D55" s="26">
        <v>1155</v>
      </c>
      <c r="E55" s="26" t="s">
        <v>269</v>
      </c>
      <c r="F55" s="26" t="s">
        <v>596</v>
      </c>
      <c r="G55" s="27" t="str">
        <f>IF(Rastreabilidade[[#This Row],[Quantidade]]&gt;0,"Entrada",IF(Rastreabilidade[[#This Row],[Quantidade]]&lt;0,"Saída",""))</f>
        <v>Entrada</v>
      </c>
    </row>
    <row r="56" spans="1:7" x14ac:dyDescent="0.25">
      <c r="A56" s="25">
        <v>45596.454835763892</v>
      </c>
      <c r="B56" s="26" t="s">
        <v>1048</v>
      </c>
      <c r="C56" s="26">
        <v>8</v>
      </c>
      <c r="D56" s="26">
        <v>2573</v>
      </c>
      <c r="E56" s="26" t="s">
        <v>267</v>
      </c>
      <c r="F56" s="26" t="s">
        <v>596</v>
      </c>
      <c r="G56" s="27" t="str">
        <f>IF(Rastreabilidade[[#This Row],[Quantidade]]&gt;0,"Entrada",IF(Rastreabilidade[[#This Row],[Quantidade]]&lt;0,"Saída",""))</f>
        <v>Entrada</v>
      </c>
    </row>
    <row r="57" spans="1:7" x14ac:dyDescent="0.25">
      <c r="A57" s="25">
        <v>45596.454486574075</v>
      </c>
      <c r="B57" s="26" t="s">
        <v>1046</v>
      </c>
      <c r="C57" s="26">
        <v>87</v>
      </c>
      <c r="D57" s="26">
        <v>1615</v>
      </c>
      <c r="E57" s="26" t="s">
        <v>257</v>
      </c>
      <c r="F57" s="26" t="s">
        <v>596</v>
      </c>
      <c r="G57" s="27" t="str">
        <f>IF(Rastreabilidade[[#This Row],[Quantidade]]&gt;0,"Entrada",IF(Rastreabilidade[[#This Row],[Quantidade]]&lt;0,"Saída",""))</f>
        <v>Entrada</v>
      </c>
    </row>
    <row r="58" spans="1:7" x14ac:dyDescent="0.25">
      <c r="A58" s="25">
        <v>45596.452652199077</v>
      </c>
      <c r="B58" s="26">
        <v>1267251120</v>
      </c>
      <c r="C58" s="26">
        <v>3</v>
      </c>
      <c r="D58" s="26">
        <v>200200249</v>
      </c>
      <c r="E58" s="26" t="s">
        <v>263</v>
      </c>
      <c r="F58" s="26" t="s">
        <v>596</v>
      </c>
      <c r="G58" s="27" t="str">
        <f>IF(Rastreabilidade[[#This Row],[Quantidade]]&gt;0,"Entrada",IF(Rastreabilidade[[#This Row],[Quantidade]]&lt;0,"Saída",""))</f>
        <v>Entrada</v>
      </c>
    </row>
    <row r="59" spans="1:7" x14ac:dyDescent="0.25">
      <c r="A59" s="25">
        <v>45596.452057175928</v>
      </c>
      <c r="B59" s="26" t="s">
        <v>1042</v>
      </c>
      <c r="C59" s="26">
        <v>22</v>
      </c>
      <c r="D59" s="26">
        <v>3250</v>
      </c>
      <c r="E59" s="26" t="s">
        <v>251</v>
      </c>
      <c r="F59" s="26" t="s">
        <v>596</v>
      </c>
      <c r="G59" s="27" t="str">
        <f>IF(Rastreabilidade[[#This Row],[Quantidade]]&gt;0,"Entrada",IF(Rastreabilidade[[#This Row],[Quantidade]]&lt;0,"Saída",""))</f>
        <v>Entrada</v>
      </c>
    </row>
    <row r="60" spans="1:7" x14ac:dyDescent="0.25">
      <c r="A60" s="25">
        <v>45596.451282986112</v>
      </c>
      <c r="B60" s="26" t="s">
        <v>715</v>
      </c>
      <c r="C60" s="26">
        <v>300</v>
      </c>
      <c r="D60" s="26">
        <v>2410129035</v>
      </c>
      <c r="E60" s="26" t="s">
        <v>843</v>
      </c>
      <c r="F60" s="26" t="s">
        <v>596</v>
      </c>
      <c r="G60" s="27" t="str">
        <f>IF(Rastreabilidade[[#This Row],[Quantidade]]&gt;0,"Entrada",IF(Rastreabilidade[[#This Row],[Quantidade]]&lt;0,"Saída",""))</f>
        <v>Entrada</v>
      </c>
    </row>
    <row r="61" spans="1:7" x14ac:dyDescent="0.25">
      <c r="A61" s="25">
        <v>45596.450496064812</v>
      </c>
      <c r="B61" s="26" t="s">
        <v>693</v>
      </c>
      <c r="C61" s="26">
        <v>130</v>
      </c>
      <c r="D61" s="26">
        <v>2886</v>
      </c>
      <c r="E61" s="26" t="s">
        <v>823</v>
      </c>
      <c r="F61" s="26" t="s">
        <v>596</v>
      </c>
      <c r="G61" s="27" t="str">
        <f>IF(Rastreabilidade[[#This Row],[Quantidade]]&gt;0,"Entrada",IF(Rastreabilidade[[#This Row],[Quantidade]]&lt;0,"Saída",""))</f>
        <v>Entrada</v>
      </c>
    </row>
    <row r="62" spans="1:7" x14ac:dyDescent="0.25">
      <c r="A62" s="25">
        <v>45596.447717824078</v>
      </c>
      <c r="B62" s="26">
        <v>2016271820</v>
      </c>
      <c r="C62" s="26">
        <v>174</v>
      </c>
      <c r="D62" s="26">
        <v>1730</v>
      </c>
      <c r="E62" s="26" t="s">
        <v>247</v>
      </c>
      <c r="F62" s="26" t="s">
        <v>596</v>
      </c>
      <c r="G62" s="27" t="str">
        <f>IF(Rastreabilidade[[#This Row],[Quantidade]]&gt;0,"Entrada",IF(Rastreabilidade[[#This Row],[Quantidade]]&lt;0,"Saída",""))</f>
        <v>Entrada</v>
      </c>
    </row>
    <row r="63" spans="1:7" x14ac:dyDescent="0.25">
      <c r="A63" s="25">
        <v>45596.444965393515</v>
      </c>
      <c r="B63" s="26">
        <v>1240161130</v>
      </c>
      <c r="C63" s="26">
        <v>180</v>
      </c>
      <c r="D63" s="26">
        <v>15846</v>
      </c>
      <c r="E63" s="26" t="s">
        <v>241</v>
      </c>
      <c r="F63" s="26" t="s">
        <v>596</v>
      </c>
      <c r="G63" s="27" t="str">
        <f>IF(Rastreabilidade[[#This Row],[Quantidade]]&gt;0,"Entrada",IF(Rastreabilidade[[#This Row],[Quantidade]]&lt;0,"Saída",""))</f>
        <v>Entrada</v>
      </c>
    </row>
    <row r="64" spans="1:7" x14ac:dyDescent="0.25">
      <c r="A64" s="25">
        <v>45596.444223379629</v>
      </c>
      <c r="B64" s="26" t="s">
        <v>746</v>
      </c>
      <c r="C64" s="26">
        <v>90</v>
      </c>
      <c r="D64" s="26">
        <v>3004</v>
      </c>
      <c r="E64" s="26" t="s">
        <v>239</v>
      </c>
      <c r="F64" s="26" t="s">
        <v>596</v>
      </c>
      <c r="G64" s="27" t="str">
        <f>IF(Rastreabilidade[[#This Row],[Quantidade]]&gt;0,"Entrada",IF(Rastreabilidade[[#This Row],[Quantidade]]&lt;0,"Saída",""))</f>
        <v>Entrada</v>
      </c>
    </row>
    <row r="65" spans="1:7" x14ac:dyDescent="0.25">
      <c r="A65" s="25">
        <v>45596.443689699074</v>
      </c>
      <c r="B65" s="26" t="s">
        <v>746</v>
      </c>
      <c r="C65" s="26">
        <v>58</v>
      </c>
      <c r="D65" s="26">
        <v>2237</v>
      </c>
      <c r="E65" s="26" t="s">
        <v>239</v>
      </c>
      <c r="F65" s="26" t="s">
        <v>596</v>
      </c>
      <c r="G65" s="27" t="str">
        <f>IF(Rastreabilidade[[#This Row],[Quantidade]]&gt;0,"Entrada",IF(Rastreabilidade[[#This Row],[Quantidade]]&lt;0,"Saída",""))</f>
        <v>Entrada</v>
      </c>
    </row>
    <row r="66" spans="1:7" x14ac:dyDescent="0.25">
      <c r="A66" s="25">
        <v>45596.44268738426</v>
      </c>
      <c r="B66" s="26" t="s">
        <v>744</v>
      </c>
      <c r="C66" s="26">
        <v>40</v>
      </c>
      <c r="D66" s="26">
        <v>1500001057</v>
      </c>
      <c r="E66" s="26" t="s">
        <v>237</v>
      </c>
      <c r="F66" s="26" t="s">
        <v>596</v>
      </c>
      <c r="G66" s="27" t="str">
        <f>IF(Rastreabilidade[[#This Row],[Quantidade]]&gt;0,"Entrada",IF(Rastreabilidade[[#This Row],[Quantidade]]&lt;0,"Saída",""))</f>
        <v>Entrada</v>
      </c>
    </row>
    <row r="67" spans="1:7" x14ac:dyDescent="0.25">
      <c r="A67" s="25">
        <v>45596.44141446759</v>
      </c>
      <c r="B67" s="26" t="s">
        <v>742</v>
      </c>
      <c r="C67" s="26">
        <v>85</v>
      </c>
      <c r="D67" s="26">
        <v>15876</v>
      </c>
      <c r="E67" s="26" t="s">
        <v>233</v>
      </c>
      <c r="F67" s="26" t="s">
        <v>596</v>
      </c>
      <c r="G67" s="27" t="str">
        <f>IF(Rastreabilidade[[#This Row],[Quantidade]]&gt;0,"Entrada",IF(Rastreabilidade[[#This Row],[Quantidade]]&lt;0,"Saída",""))</f>
        <v>Entrada</v>
      </c>
    </row>
    <row r="68" spans="1:7" x14ac:dyDescent="0.25">
      <c r="A68" s="25">
        <v>45596.440083449073</v>
      </c>
      <c r="B68" s="26" t="s">
        <v>740</v>
      </c>
      <c r="C68" s="26">
        <v>119</v>
      </c>
      <c r="D68" s="26">
        <v>15391</v>
      </c>
      <c r="E68" s="26" t="s">
        <v>231</v>
      </c>
      <c r="F68" s="26" t="s">
        <v>596</v>
      </c>
      <c r="G68" s="27" t="str">
        <f>IF(Rastreabilidade[[#This Row],[Quantidade]]&gt;0,"Entrada",IF(Rastreabilidade[[#This Row],[Quantidade]]&lt;0,"Saída",""))</f>
        <v>Entrada</v>
      </c>
    </row>
    <row r="69" spans="1:7" x14ac:dyDescent="0.25">
      <c r="A69" s="25">
        <v>45596.435179513886</v>
      </c>
      <c r="B69" s="26" t="s">
        <v>738</v>
      </c>
      <c r="C69" s="26">
        <v>37</v>
      </c>
      <c r="D69" s="26">
        <v>16067</v>
      </c>
      <c r="E69" s="26" t="s">
        <v>229</v>
      </c>
      <c r="F69" s="26" t="s">
        <v>596</v>
      </c>
      <c r="G69" s="27" t="str">
        <f>IF(Rastreabilidade[[#This Row],[Quantidade]]&gt;0,"Entrada",IF(Rastreabilidade[[#This Row],[Quantidade]]&lt;0,"Saída",""))</f>
        <v>Entrada</v>
      </c>
    </row>
    <row r="70" spans="1:7" x14ac:dyDescent="0.25">
      <c r="A70" s="25">
        <v>45596.434712037037</v>
      </c>
      <c r="B70" s="26" t="s">
        <v>736</v>
      </c>
      <c r="C70" s="26">
        <v>153</v>
      </c>
      <c r="D70" s="26">
        <v>15770</v>
      </c>
      <c r="E70" s="26" t="s">
        <v>227</v>
      </c>
      <c r="F70" s="26" t="s">
        <v>596</v>
      </c>
      <c r="G70" s="27" t="str">
        <f>IF(Rastreabilidade[[#This Row],[Quantidade]]&gt;0,"Entrada",IF(Rastreabilidade[[#This Row],[Quantidade]]&lt;0,"Saída",""))</f>
        <v>Entrada</v>
      </c>
    </row>
    <row r="71" spans="1:7" x14ac:dyDescent="0.25">
      <c r="A71" s="25">
        <v>45596.434187615741</v>
      </c>
      <c r="B71" s="26" t="s">
        <v>733</v>
      </c>
      <c r="C71" s="26">
        <v>200</v>
      </c>
      <c r="D71" s="26">
        <v>2611</v>
      </c>
      <c r="E71" s="26" t="s">
        <v>223</v>
      </c>
      <c r="F71" s="26" t="s">
        <v>596</v>
      </c>
      <c r="G71" s="27" t="str">
        <f>IF(Rastreabilidade[[#This Row],[Quantidade]]&gt;0,"Entrada",IF(Rastreabilidade[[#This Row],[Quantidade]]&lt;0,"Saída",""))</f>
        <v>Entrada</v>
      </c>
    </row>
    <row r="72" spans="1:7" x14ac:dyDescent="0.25">
      <c r="A72" s="25">
        <v>45596.433786458336</v>
      </c>
      <c r="B72" s="26" t="s">
        <v>733</v>
      </c>
      <c r="C72" s="26">
        <v>43</v>
      </c>
      <c r="D72" s="26">
        <v>1609</v>
      </c>
      <c r="E72" s="26" t="s">
        <v>221</v>
      </c>
      <c r="F72" s="26" t="s">
        <v>596</v>
      </c>
      <c r="G72" s="27" t="str">
        <f>IF(Rastreabilidade[[#This Row],[Quantidade]]&gt;0,"Entrada",IF(Rastreabilidade[[#This Row],[Quantidade]]&lt;0,"Saída",""))</f>
        <v>Entrada</v>
      </c>
    </row>
    <row r="73" spans="1:7" x14ac:dyDescent="0.25">
      <c r="A73" s="25">
        <v>45596.43338865741</v>
      </c>
      <c r="B73" s="26" t="s">
        <v>731</v>
      </c>
      <c r="C73" s="26">
        <v>2</v>
      </c>
      <c r="D73" s="26">
        <v>1406300015</v>
      </c>
      <c r="E73" s="26" t="s">
        <v>217</v>
      </c>
      <c r="F73" s="26" t="s">
        <v>596</v>
      </c>
      <c r="G73" s="27" t="str">
        <f>IF(Rastreabilidade[[#This Row],[Quantidade]]&gt;0,"Entrada",IF(Rastreabilidade[[#This Row],[Quantidade]]&lt;0,"Saída",""))</f>
        <v>Entrada</v>
      </c>
    </row>
    <row r="74" spans="1:7" x14ac:dyDescent="0.25">
      <c r="A74" s="25">
        <v>45596.431619560186</v>
      </c>
      <c r="B74" s="26">
        <v>1240151850</v>
      </c>
      <c r="C74" s="26">
        <v>1</v>
      </c>
      <c r="D74" s="26">
        <v>12729</v>
      </c>
      <c r="E74" s="26" t="s">
        <v>215</v>
      </c>
      <c r="F74" s="26" t="s">
        <v>596</v>
      </c>
      <c r="G74" s="27" t="str">
        <f>IF(Rastreabilidade[[#This Row],[Quantidade]]&gt;0,"Entrada",IF(Rastreabilidade[[#This Row],[Quantidade]]&lt;0,"Saída",""))</f>
        <v>Entrada</v>
      </c>
    </row>
    <row r="75" spans="1:7" x14ac:dyDescent="0.25">
      <c r="A75" s="25">
        <v>45596.431195138888</v>
      </c>
      <c r="B75" s="26" t="s">
        <v>727</v>
      </c>
      <c r="C75" s="26">
        <v>41</v>
      </c>
      <c r="D75" s="26">
        <v>3018</v>
      </c>
      <c r="E75" s="26" t="s">
        <v>211</v>
      </c>
      <c r="F75" s="26" t="s">
        <v>596</v>
      </c>
      <c r="G75" s="27" t="str">
        <f>IF(Rastreabilidade[[#This Row],[Quantidade]]&gt;0,"Entrada",IF(Rastreabilidade[[#This Row],[Quantidade]]&lt;0,"Saída",""))</f>
        <v>Entrada</v>
      </c>
    </row>
    <row r="76" spans="1:7" x14ac:dyDescent="0.25">
      <c r="A76" s="25">
        <v>45596.430430671295</v>
      </c>
      <c r="B76" s="26" t="s">
        <v>725</v>
      </c>
      <c r="C76" s="26">
        <v>90</v>
      </c>
      <c r="D76" s="26">
        <v>1779</v>
      </c>
      <c r="E76" s="26" t="s">
        <v>213</v>
      </c>
      <c r="F76" s="26" t="s">
        <v>596</v>
      </c>
      <c r="G76" s="27" t="str">
        <f>IF(Rastreabilidade[[#This Row],[Quantidade]]&gt;0,"Entrada",IF(Rastreabilidade[[#This Row],[Quantidade]]&lt;0,"Saída",""))</f>
        <v>Entrada</v>
      </c>
    </row>
    <row r="77" spans="1:7" x14ac:dyDescent="0.25">
      <c r="A77" s="25">
        <v>45596.43</v>
      </c>
      <c r="B77" s="26" t="s">
        <v>723</v>
      </c>
      <c r="C77" s="26">
        <v>24</v>
      </c>
      <c r="D77" s="26">
        <v>3251</v>
      </c>
      <c r="E77" s="26" t="s">
        <v>205</v>
      </c>
      <c r="F77" s="26" t="s">
        <v>596</v>
      </c>
      <c r="G77" s="27" t="str">
        <f>IF(Rastreabilidade[[#This Row],[Quantidade]]&gt;0,"Entrada",IF(Rastreabilidade[[#This Row],[Quantidade]]&lt;0,"Saída",""))</f>
        <v>Entrada</v>
      </c>
    </row>
    <row r="78" spans="1:7" x14ac:dyDescent="0.25">
      <c r="A78" s="25">
        <v>45596.429607060185</v>
      </c>
      <c r="B78" s="26">
        <v>2384331451</v>
      </c>
      <c r="C78" s="26">
        <v>24</v>
      </c>
      <c r="D78" s="26">
        <v>1100001914</v>
      </c>
      <c r="E78" s="26" t="s">
        <v>203</v>
      </c>
      <c r="F78" s="26" t="s">
        <v>596</v>
      </c>
      <c r="G78" s="27" t="str">
        <f>IF(Rastreabilidade[[#This Row],[Quantidade]]&gt;0,"Entrada",IF(Rastreabilidade[[#This Row],[Quantidade]]&lt;0,"Saída",""))</f>
        <v>Entrada</v>
      </c>
    </row>
    <row r="79" spans="1:7" x14ac:dyDescent="0.25">
      <c r="A79" s="25">
        <v>45596.429050347222</v>
      </c>
      <c r="B79" s="26" t="s">
        <v>719</v>
      </c>
      <c r="C79" s="26">
        <v>75</v>
      </c>
      <c r="D79" s="26">
        <v>15277</v>
      </c>
      <c r="E79" s="26" t="s">
        <v>201</v>
      </c>
      <c r="F79" s="26" t="s">
        <v>596</v>
      </c>
      <c r="G79" s="27" t="str">
        <f>IF(Rastreabilidade[[#This Row],[Quantidade]]&gt;0,"Entrada",IF(Rastreabilidade[[#This Row],[Quantidade]]&lt;0,"Saída",""))</f>
        <v>Entrada</v>
      </c>
    </row>
    <row r="80" spans="1:7" x14ac:dyDescent="0.25">
      <c r="A80" s="25">
        <v>45596.428660185185</v>
      </c>
      <c r="B80" s="26" t="s">
        <v>717</v>
      </c>
      <c r="C80" s="26">
        <v>18</v>
      </c>
      <c r="D80" s="26">
        <v>2239</v>
      </c>
      <c r="E80" s="26" t="s">
        <v>199</v>
      </c>
      <c r="F80" s="26" t="s">
        <v>596</v>
      </c>
      <c r="G80" s="27" t="str">
        <f>IF(Rastreabilidade[[#This Row],[Quantidade]]&gt;0,"Entrada",IF(Rastreabilidade[[#This Row],[Quantidade]]&lt;0,"Saída",""))</f>
        <v>Entrada</v>
      </c>
    </row>
    <row r="81" spans="1:7" x14ac:dyDescent="0.25">
      <c r="A81" s="25">
        <v>45596.427804282408</v>
      </c>
      <c r="B81" s="26" t="s">
        <v>715</v>
      </c>
      <c r="C81" s="26">
        <v>197</v>
      </c>
      <c r="D81" s="26">
        <v>2408102553</v>
      </c>
      <c r="E81" s="26" t="s">
        <v>195</v>
      </c>
      <c r="F81" s="26" t="s">
        <v>596</v>
      </c>
      <c r="G81" s="27" t="str">
        <f>IF(Rastreabilidade[[#This Row],[Quantidade]]&gt;0,"Entrada",IF(Rastreabilidade[[#This Row],[Quantidade]]&lt;0,"Saída",""))</f>
        <v>Entrada</v>
      </c>
    </row>
    <row r="82" spans="1:7" x14ac:dyDescent="0.25">
      <c r="A82" s="25">
        <v>45596.426823032409</v>
      </c>
      <c r="B82" s="26">
        <v>4184347980</v>
      </c>
      <c r="C82" s="26">
        <v>39</v>
      </c>
      <c r="D82" s="26">
        <v>2303</v>
      </c>
      <c r="E82" s="26" t="s">
        <v>193</v>
      </c>
      <c r="F82" s="26" t="s">
        <v>596</v>
      </c>
      <c r="G82" s="27" t="str">
        <f>IF(Rastreabilidade[[#This Row],[Quantidade]]&gt;0,"Entrada",IF(Rastreabilidade[[#This Row],[Quantidade]]&lt;0,"Saída",""))</f>
        <v>Entrada</v>
      </c>
    </row>
    <row r="83" spans="1:7" x14ac:dyDescent="0.25">
      <c r="A83" s="25">
        <v>45596.426124189813</v>
      </c>
      <c r="B83" s="26" t="s">
        <v>711</v>
      </c>
      <c r="C83" s="26">
        <v>5</v>
      </c>
      <c r="D83" s="26">
        <v>1611280020</v>
      </c>
      <c r="E83" s="26" t="s">
        <v>189</v>
      </c>
      <c r="F83" s="26" t="s">
        <v>596</v>
      </c>
      <c r="G83" s="27" t="str">
        <f>IF(Rastreabilidade[[#This Row],[Quantidade]]&gt;0,"Entrada",IF(Rastreabilidade[[#This Row],[Quantidade]]&lt;0,"Saída",""))</f>
        <v>Entrada</v>
      </c>
    </row>
    <row r="84" spans="1:7" x14ac:dyDescent="0.25">
      <c r="A84" s="25">
        <v>45596.422314236108</v>
      </c>
      <c r="B84" s="26" t="s">
        <v>710</v>
      </c>
      <c r="C84" s="26">
        <v>77</v>
      </c>
      <c r="D84" s="26" t="s">
        <v>648</v>
      </c>
      <c r="E84" s="26" t="s">
        <v>171</v>
      </c>
      <c r="F84" s="26" t="s">
        <v>596</v>
      </c>
      <c r="G84" s="27" t="str">
        <f>IF(Rastreabilidade[[#This Row],[Quantidade]]&gt;0,"Entrada",IF(Rastreabilidade[[#This Row],[Quantidade]]&lt;0,"Saída",""))</f>
        <v>Entrada</v>
      </c>
    </row>
    <row r="85" spans="1:7" x14ac:dyDescent="0.25">
      <c r="A85" s="25">
        <v>45596.421905787036</v>
      </c>
      <c r="B85" s="26" t="s">
        <v>708</v>
      </c>
      <c r="C85" s="26">
        <v>146</v>
      </c>
      <c r="D85" s="26">
        <v>2913</v>
      </c>
      <c r="E85" s="26" t="s">
        <v>173</v>
      </c>
      <c r="F85" s="26" t="s">
        <v>596</v>
      </c>
      <c r="G85" s="27" t="str">
        <f>IF(Rastreabilidade[[#This Row],[Quantidade]]&gt;0,"Entrada",IF(Rastreabilidade[[#This Row],[Quantidade]]&lt;0,"Saída",""))</f>
        <v>Entrada</v>
      </c>
    </row>
    <row r="86" spans="1:7" x14ac:dyDescent="0.25">
      <c r="A86" s="25">
        <v>45596.421184722225</v>
      </c>
      <c r="B86" s="26">
        <v>4274328660</v>
      </c>
      <c r="C86" s="26">
        <v>32</v>
      </c>
      <c r="D86" s="26">
        <v>1488</v>
      </c>
      <c r="E86" s="26" t="s">
        <v>169</v>
      </c>
      <c r="F86" s="26" t="s">
        <v>596</v>
      </c>
      <c r="G86" s="27" t="str">
        <f>IF(Rastreabilidade[[#This Row],[Quantidade]]&gt;0,"Entrada",IF(Rastreabilidade[[#This Row],[Quantidade]]&lt;0,"Saída",""))</f>
        <v>Entrada</v>
      </c>
    </row>
    <row r="87" spans="1:7" x14ac:dyDescent="0.25">
      <c r="A87" s="25">
        <v>45596.419740740741</v>
      </c>
      <c r="B87" s="26" t="s">
        <v>704</v>
      </c>
      <c r="C87" s="26">
        <v>26</v>
      </c>
      <c r="D87" s="26">
        <v>1636</v>
      </c>
      <c r="E87" s="26" t="s">
        <v>165</v>
      </c>
      <c r="F87" s="26" t="s">
        <v>596</v>
      </c>
      <c r="G87" s="27" t="str">
        <f>IF(Rastreabilidade[[#This Row],[Quantidade]]&gt;0,"Entrada",IF(Rastreabilidade[[#This Row],[Quantidade]]&lt;0,"Saída",""))</f>
        <v>Entrada</v>
      </c>
    </row>
    <row r="88" spans="1:7" x14ac:dyDescent="0.25">
      <c r="A88" s="25">
        <v>45596.419129745373</v>
      </c>
      <c r="B88" s="26" t="s">
        <v>702</v>
      </c>
      <c r="C88" s="26">
        <v>41</v>
      </c>
      <c r="D88" s="26">
        <v>16239</v>
      </c>
      <c r="E88" s="26" t="s">
        <v>161</v>
      </c>
      <c r="F88" s="26" t="s">
        <v>596</v>
      </c>
      <c r="G88" s="27" t="str">
        <f>IF(Rastreabilidade[[#This Row],[Quantidade]]&gt;0,"Entrada",IF(Rastreabilidade[[#This Row],[Quantidade]]&lt;0,"Saída",""))</f>
        <v>Entrada</v>
      </c>
    </row>
    <row r="89" spans="1:7" x14ac:dyDescent="0.25">
      <c r="A89" s="25">
        <v>45596.417327662035</v>
      </c>
      <c r="B89" s="26">
        <v>2036257730</v>
      </c>
      <c r="C89" s="26">
        <v>150</v>
      </c>
      <c r="D89" s="26">
        <v>2296</v>
      </c>
      <c r="E89" s="26" t="s">
        <v>183</v>
      </c>
      <c r="F89" s="26" t="s">
        <v>596</v>
      </c>
      <c r="G89" s="27" t="str">
        <f>IF(Rastreabilidade[[#This Row],[Quantidade]]&gt;0,"Entrada",IF(Rastreabilidade[[#This Row],[Quantidade]]&lt;0,"Saída",""))</f>
        <v>Entrada</v>
      </c>
    </row>
    <row r="90" spans="1:7" x14ac:dyDescent="0.25">
      <c r="A90" s="25">
        <v>45596.41627858796</v>
      </c>
      <c r="B90" s="26">
        <v>1244352980</v>
      </c>
      <c r="C90" s="26">
        <v>15</v>
      </c>
      <c r="D90" s="26">
        <v>6133</v>
      </c>
      <c r="E90" s="26" t="s">
        <v>181</v>
      </c>
      <c r="F90" s="26" t="s">
        <v>596</v>
      </c>
      <c r="G90" s="27" t="str">
        <f>IF(Rastreabilidade[[#This Row],[Quantidade]]&gt;0,"Entrada",IF(Rastreabilidade[[#This Row],[Quantidade]]&lt;0,"Saída",""))</f>
        <v>Entrada</v>
      </c>
    </row>
    <row r="91" spans="1:7" x14ac:dyDescent="0.25">
      <c r="A91" s="25">
        <v>45596.415178009258</v>
      </c>
      <c r="B91" s="26" t="s">
        <v>696</v>
      </c>
      <c r="C91" s="26">
        <v>194</v>
      </c>
      <c r="D91" s="26">
        <v>11575</v>
      </c>
      <c r="E91" s="26" t="s">
        <v>177</v>
      </c>
      <c r="F91" s="26" t="s">
        <v>596</v>
      </c>
      <c r="G91" s="27" t="str">
        <f>IF(Rastreabilidade[[#This Row],[Quantidade]]&gt;0,"Entrada",IF(Rastreabilidade[[#This Row],[Quantidade]]&lt;0,"Saída",""))</f>
        <v>Entrada</v>
      </c>
    </row>
    <row r="92" spans="1:7" x14ac:dyDescent="0.25">
      <c r="A92" s="25">
        <v>45596.414635416666</v>
      </c>
      <c r="B92" s="26">
        <v>420511038</v>
      </c>
      <c r="C92" s="26">
        <v>2080</v>
      </c>
      <c r="D92" s="26">
        <v>15553</v>
      </c>
      <c r="E92" s="26" t="s">
        <v>157</v>
      </c>
      <c r="F92" s="26" t="s">
        <v>596</v>
      </c>
      <c r="G92" s="27" t="str">
        <f>IF(Rastreabilidade[[#This Row],[Quantidade]]&gt;0,"Entrada",IF(Rastreabilidade[[#This Row],[Quantidade]]&lt;0,"Saída",""))</f>
        <v>Entrada</v>
      </c>
    </row>
    <row r="93" spans="1:7" x14ac:dyDescent="0.25">
      <c r="A93" s="25">
        <v>45596.414211921299</v>
      </c>
      <c r="B93" s="26" t="s">
        <v>693</v>
      </c>
      <c r="C93" s="26">
        <v>119</v>
      </c>
      <c r="D93" s="26">
        <v>2886</v>
      </c>
      <c r="E93" s="26" t="s">
        <v>155</v>
      </c>
      <c r="F93" s="26" t="s">
        <v>596</v>
      </c>
      <c r="G93" s="27" t="str">
        <f>IF(Rastreabilidade[[#This Row],[Quantidade]]&gt;0,"Entrada",IF(Rastreabilidade[[#This Row],[Quantidade]]&lt;0,"Saída",""))</f>
        <v>Entrada</v>
      </c>
    </row>
    <row r="94" spans="1:7" x14ac:dyDescent="0.25">
      <c r="A94" s="25">
        <v>45596.413858333333</v>
      </c>
      <c r="B94" s="26">
        <v>420511038</v>
      </c>
      <c r="C94" s="26">
        <v>316</v>
      </c>
      <c r="D94" s="26">
        <v>14973</v>
      </c>
      <c r="E94" s="26" t="s">
        <v>153</v>
      </c>
      <c r="F94" s="26" t="s">
        <v>596</v>
      </c>
      <c r="G94" s="27" t="str">
        <f>IF(Rastreabilidade[[#This Row],[Quantidade]]&gt;0,"Entrada",IF(Rastreabilidade[[#This Row],[Quantidade]]&lt;0,"Saída",""))</f>
        <v>Entrada</v>
      </c>
    </row>
    <row r="95" spans="1:7" x14ac:dyDescent="0.25">
      <c r="A95" s="25">
        <v>45596.412630324077</v>
      </c>
      <c r="B95" s="26">
        <v>8255624370</v>
      </c>
      <c r="C95" s="26">
        <v>149</v>
      </c>
      <c r="D95" s="26">
        <v>16155</v>
      </c>
      <c r="E95" s="26" t="s">
        <v>149</v>
      </c>
      <c r="F95" s="26" t="s">
        <v>596</v>
      </c>
      <c r="G95" s="27" t="str">
        <f>IF(Rastreabilidade[[#This Row],[Quantidade]]&gt;0,"Entrada",IF(Rastreabilidade[[#This Row],[Quantidade]]&lt;0,"Saída",""))</f>
        <v>Entrada</v>
      </c>
    </row>
    <row r="96" spans="1:7" x14ac:dyDescent="0.25">
      <c r="A96" s="25">
        <v>45596.411095601849</v>
      </c>
      <c r="B96" s="26" t="s">
        <v>687</v>
      </c>
      <c r="C96" s="26">
        <v>14</v>
      </c>
      <c r="D96" s="26">
        <v>1611250019</v>
      </c>
      <c r="E96" s="26" t="s">
        <v>147</v>
      </c>
      <c r="F96" s="26" t="s">
        <v>596</v>
      </c>
      <c r="G96" s="27" t="str">
        <f>IF(Rastreabilidade[[#This Row],[Quantidade]]&gt;0,"Entrada",IF(Rastreabilidade[[#This Row],[Quantidade]]&lt;0,"Saída",""))</f>
        <v>Entrada</v>
      </c>
    </row>
    <row r="97" spans="1:7" x14ac:dyDescent="0.25">
      <c r="A97" s="25">
        <v>45596.409561342596</v>
      </c>
      <c r="B97" s="26">
        <v>4198771390</v>
      </c>
      <c r="C97" s="26">
        <v>302</v>
      </c>
      <c r="D97" s="26">
        <v>10997</v>
      </c>
      <c r="E97" s="26" t="s">
        <v>151</v>
      </c>
      <c r="F97" s="26" t="s">
        <v>596</v>
      </c>
      <c r="G97" s="27" t="str">
        <f>IF(Rastreabilidade[[#This Row],[Quantidade]]&gt;0,"Entrada",IF(Rastreabilidade[[#This Row],[Quantidade]]&lt;0,"Saída",""))</f>
        <v>Entrada</v>
      </c>
    </row>
    <row r="98" spans="1:7" x14ac:dyDescent="0.25">
      <c r="A98" s="25">
        <v>45596.405133796296</v>
      </c>
      <c r="B98" s="26" t="s">
        <v>683</v>
      </c>
      <c r="C98" s="26">
        <v>275</v>
      </c>
      <c r="D98" s="26">
        <v>15875</v>
      </c>
      <c r="E98" s="26" t="s">
        <v>145</v>
      </c>
      <c r="F98" s="26" t="s">
        <v>596</v>
      </c>
      <c r="G98" s="27" t="str">
        <f>IF(Rastreabilidade[[#This Row],[Quantidade]]&gt;0,"Entrada",IF(Rastreabilidade[[#This Row],[Quantidade]]&lt;0,"Saída",""))</f>
        <v>Entrada</v>
      </c>
    </row>
    <row r="99" spans="1:7" x14ac:dyDescent="0.25">
      <c r="A99" s="25">
        <v>45596.40304016204</v>
      </c>
      <c r="B99" s="26">
        <v>421020624</v>
      </c>
      <c r="C99" s="26">
        <v>306</v>
      </c>
      <c r="D99" s="26">
        <v>10020</v>
      </c>
      <c r="E99" s="26" t="s">
        <v>139</v>
      </c>
      <c r="F99" s="26" t="s">
        <v>596</v>
      </c>
      <c r="G99" s="27" t="str">
        <f>IF(Rastreabilidade[[#This Row],[Quantidade]]&gt;0,"Entrada",IF(Rastreabilidade[[#This Row],[Quantidade]]&lt;0,"Saída",""))</f>
        <v>Entrada</v>
      </c>
    </row>
    <row r="100" spans="1:7" x14ac:dyDescent="0.25">
      <c r="A100" s="25">
        <v>45596.401218634259</v>
      </c>
      <c r="B100" s="26">
        <v>420510630</v>
      </c>
      <c r="C100" s="26">
        <v>737</v>
      </c>
      <c r="D100" s="26">
        <v>15634</v>
      </c>
      <c r="E100" s="26" t="s">
        <v>133</v>
      </c>
      <c r="F100" s="26" t="s">
        <v>596</v>
      </c>
      <c r="G100" s="27" t="str">
        <f>IF(Rastreabilidade[[#This Row],[Quantidade]]&gt;0,"Entrada",IF(Rastreabilidade[[#This Row],[Quantidade]]&lt;0,"Saída",""))</f>
        <v>Entrada</v>
      </c>
    </row>
    <row r="101" spans="1:7" x14ac:dyDescent="0.25">
      <c r="A101" s="25">
        <v>45596.400574537038</v>
      </c>
      <c r="B101" s="26">
        <v>420510630</v>
      </c>
      <c r="C101" s="26">
        <v>314</v>
      </c>
      <c r="D101" s="26">
        <v>14445</v>
      </c>
      <c r="E101" s="26" t="s">
        <v>133</v>
      </c>
      <c r="F101" s="26" t="s">
        <v>596</v>
      </c>
      <c r="G101" s="27" t="str">
        <f>IF(Rastreabilidade[[#This Row],[Quantidade]]&gt;0,"Entrada",IF(Rastreabilidade[[#This Row],[Quantidade]]&lt;0,"Saída",""))</f>
        <v>Entrada</v>
      </c>
    </row>
    <row r="102" spans="1:7" x14ac:dyDescent="0.25">
      <c r="A102" s="25">
        <v>45596.399418402776</v>
      </c>
      <c r="B102" s="26" t="s">
        <v>676</v>
      </c>
      <c r="C102" s="26">
        <v>27</v>
      </c>
      <c r="D102" s="26">
        <v>16002</v>
      </c>
      <c r="E102" s="26" t="s">
        <v>129</v>
      </c>
      <c r="F102" s="26" t="s">
        <v>596</v>
      </c>
      <c r="G102" s="27" t="str">
        <f>IF(Rastreabilidade[[#This Row],[Quantidade]]&gt;0,"Entrada",IF(Rastreabilidade[[#This Row],[Quantidade]]&lt;0,"Saída",""))</f>
        <v>Entrada</v>
      </c>
    </row>
    <row r="103" spans="1:7" x14ac:dyDescent="0.25">
      <c r="A103" s="25">
        <v>45596.395260300924</v>
      </c>
      <c r="B103" s="26">
        <v>4193311460</v>
      </c>
      <c r="C103" s="26">
        <v>561</v>
      </c>
      <c r="D103" s="26">
        <v>2021</v>
      </c>
      <c r="E103" s="26" t="s">
        <v>127</v>
      </c>
      <c r="F103" s="26" t="s">
        <v>596</v>
      </c>
      <c r="G103" s="27" t="str">
        <f>IF(Rastreabilidade[[#This Row],[Quantidade]]&gt;0,"Entrada",IF(Rastreabilidade[[#This Row],[Quantidade]]&lt;0,"Saída",""))</f>
        <v>Entrada</v>
      </c>
    </row>
    <row r="104" spans="1:7" x14ac:dyDescent="0.25">
      <c r="A104" s="25">
        <v>45596.394797569446</v>
      </c>
      <c r="B104" s="26">
        <v>4196231712</v>
      </c>
      <c r="C104" s="26">
        <v>195</v>
      </c>
      <c r="D104" s="26">
        <v>342</v>
      </c>
      <c r="E104" s="26" t="s">
        <v>125</v>
      </c>
      <c r="F104" s="26" t="s">
        <v>596</v>
      </c>
      <c r="G104" s="27" t="str">
        <f>IF(Rastreabilidade[[#This Row],[Quantidade]]&gt;0,"Entrada",IF(Rastreabilidade[[#This Row],[Quantidade]]&lt;0,"Saída",""))</f>
        <v>Entrada</v>
      </c>
    </row>
    <row r="105" spans="1:7" x14ac:dyDescent="0.25">
      <c r="A105" s="25">
        <v>45596.394380439815</v>
      </c>
      <c r="B105" s="26">
        <v>195011640</v>
      </c>
      <c r="C105" s="26">
        <v>100</v>
      </c>
      <c r="D105" s="26">
        <v>10156</v>
      </c>
      <c r="E105" s="26" t="s">
        <v>121</v>
      </c>
      <c r="F105" s="26" t="s">
        <v>596</v>
      </c>
      <c r="G105" s="27" t="str">
        <f>IF(Rastreabilidade[[#This Row],[Quantidade]]&gt;0,"Entrada",IF(Rastreabilidade[[#This Row],[Quantidade]]&lt;0,"Saída",""))</f>
        <v>Entrada</v>
      </c>
    </row>
    <row r="106" spans="1:7" x14ac:dyDescent="0.25">
      <c r="A106" s="25">
        <v>45596.393947453704</v>
      </c>
      <c r="B106" s="26">
        <v>1950116140</v>
      </c>
      <c r="C106" s="26">
        <v>159</v>
      </c>
      <c r="D106" s="26">
        <v>9306</v>
      </c>
      <c r="E106" s="26" t="s">
        <v>121</v>
      </c>
      <c r="F106" s="26" t="s">
        <v>596</v>
      </c>
      <c r="G106" s="27" t="str">
        <f>IF(Rastreabilidade[[#This Row],[Quantidade]]&gt;0,"Entrada",IF(Rastreabilidade[[#This Row],[Quantidade]]&lt;0,"Saída",""))</f>
        <v>Entrada</v>
      </c>
    </row>
    <row r="107" spans="1:7" x14ac:dyDescent="0.25">
      <c r="A107" s="25">
        <v>45596.393440046297</v>
      </c>
      <c r="B107" s="26">
        <v>278100311</v>
      </c>
      <c r="C107" s="26">
        <v>79</v>
      </c>
      <c r="D107" s="26">
        <v>3855</v>
      </c>
      <c r="E107" s="26" t="s">
        <v>119</v>
      </c>
      <c r="F107" s="26" t="s">
        <v>596</v>
      </c>
      <c r="G107" s="27" t="str">
        <f>IF(Rastreabilidade[[#This Row],[Quantidade]]&gt;0,"Entrada",IF(Rastreabilidade[[#This Row],[Quantidade]]&lt;0,"Saída",""))</f>
        <v>Entrada</v>
      </c>
    </row>
    <row r="108" spans="1:7" x14ac:dyDescent="0.25">
      <c r="A108" s="25">
        <v>45596.39214664352</v>
      </c>
      <c r="B108" s="26" t="s">
        <v>664</v>
      </c>
      <c r="C108" s="26">
        <v>407</v>
      </c>
      <c r="D108" s="26">
        <v>13464</v>
      </c>
      <c r="E108" s="26" t="s">
        <v>117</v>
      </c>
      <c r="F108" s="26" t="s">
        <v>596</v>
      </c>
      <c r="G108" s="27" t="str">
        <f>IF(Rastreabilidade[[#This Row],[Quantidade]]&gt;0,"Entrada",IF(Rastreabilidade[[#This Row],[Quantidade]]&lt;0,"Saída",""))</f>
        <v>Entrada</v>
      </c>
    </row>
    <row r="109" spans="1:7" x14ac:dyDescent="0.25">
      <c r="A109" s="25">
        <v>45596.390946643522</v>
      </c>
      <c r="B109" s="26">
        <v>4164337420</v>
      </c>
      <c r="C109" s="26">
        <v>300</v>
      </c>
      <c r="D109" s="26">
        <v>2921</v>
      </c>
      <c r="E109" s="26" t="s">
        <v>115</v>
      </c>
      <c r="F109" s="26" t="s">
        <v>596</v>
      </c>
      <c r="G109" s="27" t="str">
        <f>IF(Rastreabilidade[[#This Row],[Quantidade]]&gt;0,"Entrada",IF(Rastreabilidade[[#This Row],[Quantidade]]&lt;0,"Saída",""))</f>
        <v>Entrada</v>
      </c>
    </row>
    <row r="110" spans="1:7" x14ac:dyDescent="0.25">
      <c r="A110" s="25">
        <v>45596.390308796297</v>
      </c>
      <c r="B110" s="26">
        <v>4164337420</v>
      </c>
      <c r="C110" s="26">
        <v>4</v>
      </c>
      <c r="D110" s="26">
        <v>2301</v>
      </c>
      <c r="E110" s="26" t="s">
        <v>113</v>
      </c>
      <c r="F110" s="26" t="s">
        <v>596</v>
      </c>
      <c r="G110" s="27" t="str">
        <f>IF(Rastreabilidade[[#This Row],[Quantidade]]&gt;0,"Entrada",IF(Rastreabilidade[[#This Row],[Quantidade]]&lt;0,"Saída",""))</f>
        <v>Entrada</v>
      </c>
    </row>
    <row r="111" spans="1:7" x14ac:dyDescent="0.25">
      <c r="A111" s="25">
        <v>45596.388841087966</v>
      </c>
      <c r="B111" s="26">
        <v>418433761</v>
      </c>
      <c r="C111" s="26">
        <v>300</v>
      </c>
      <c r="D111" s="26">
        <v>967</v>
      </c>
      <c r="E111" s="26" t="s">
        <v>111</v>
      </c>
      <c r="F111" s="26" t="s">
        <v>596</v>
      </c>
      <c r="G111" s="27" t="str">
        <f>IF(Rastreabilidade[[#This Row],[Quantidade]]&gt;0,"Entrada",IF(Rastreabilidade[[#This Row],[Quantidade]]&lt;0,"Saída",""))</f>
        <v>Entrada</v>
      </c>
    </row>
    <row r="112" spans="1:7" x14ac:dyDescent="0.25">
      <c r="A112" s="25">
        <v>45596.388330439811</v>
      </c>
      <c r="B112" s="26">
        <v>4184337161</v>
      </c>
      <c r="C112" s="26">
        <v>100</v>
      </c>
      <c r="D112" s="26">
        <v>967</v>
      </c>
      <c r="E112" s="26" t="s">
        <v>109</v>
      </c>
      <c r="F112" s="26" t="s">
        <v>596</v>
      </c>
      <c r="G112" s="27" t="str">
        <f>IF(Rastreabilidade[[#This Row],[Quantidade]]&gt;0,"Entrada",IF(Rastreabilidade[[#This Row],[Quantidade]]&lt;0,"Saída",""))</f>
        <v>Entrada</v>
      </c>
    </row>
    <row r="113" spans="1:7" x14ac:dyDescent="0.25">
      <c r="A113" s="25">
        <v>45596.386138657406</v>
      </c>
      <c r="B113" s="26">
        <v>4184337161</v>
      </c>
      <c r="C113" s="26">
        <v>129</v>
      </c>
      <c r="D113" s="26">
        <v>136</v>
      </c>
      <c r="E113" s="26" t="s">
        <v>107</v>
      </c>
      <c r="F113" s="26" t="s">
        <v>596</v>
      </c>
      <c r="G113" s="27" t="str">
        <f>IF(Rastreabilidade[[#This Row],[Quantidade]]&gt;0,"Entrada",IF(Rastreabilidade[[#This Row],[Quantidade]]&lt;0,"Saída",""))</f>
        <v>Entrada</v>
      </c>
    </row>
    <row r="114" spans="1:7" x14ac:dyDescent="0.25">
      <c r="A114" s="25">
        <v>45596.381748032407</v>
      </c>
      <c r="B114" s="26" t="s">
        <v>655</v>
      </c>
      <c r="C114" s="26">
        <v>194</v>
      </c>
      <c r="D114" s="26">
        <v>2612</v>
      </c>
      <c r="E114" s="26" t="s">
        <v>81</v>
      </c>
      <c r="F114" s="26" t="s">
        <v>596</v>
      </c>
      <c r="G114" s="27" t="str">
        <f>IF(Rastreabilidade[[#This Row],[Quantidade]]&gt;0,"Entrada",IF(Rastreabilidade[[#This Row],[Quantidade]]&lt;0,"Saída",""))</f>
        <v>Entrada</v>
      </c>
    </row>
    <row r="115" spans="1:7" x14ac:dyDescent="0.25">
      <c r="A115" s="25">
        <v>45596.380184374997</v>
      </c>
      <c r="B115" s="26">
        <v>737310600</v>
      </c>
      <c r="C115" s="26">
        <v>35</v>
      </c>
      <c r="D115" s="26">
        <v>587</v>
      </c>
      <c r="E115" s="26" t="s">
        <v>105</v>
      </c>
      <c r="F115" s="26" t="s">
        <v>596</v>
      </c>
      <c r="G115" s="27" t="str">
        <f>IF(Rastreabilidade[[#This Row],[Quantidade]]&gt;0,"Entrada",IF(Rastreabilidade[[#This Row],[Quantidade]]&lt;0,"Saída",""))</f>
        <v>Entrada</v>
      </c>
    </row>
    <row r="116" spans="1:7" x14ac:dyDescent="0.25">
      <c r="A116" s="25">
        <v>45596.378973495368</v>
      </c>
      <c r="B116" s="26">
        <v>4176231110</v>
      </c>
      <c r="C116" s="26">
        <v>258</v>
      </c>
      <c r="D116" s="26">
        <v>1640</v>
      </c>
      <c r="E116" s="26" t="s">
        <v>103</v>
      </c>
      <c r="F116" s="26" t="s">
        <v>596</v>
      </c>
      <c r="G116" s="27" t="str">
        <f>IF(Rastreabilidade[[#This Row],[Quantidade]]&gt;0,"Entrada",IF(Rastreabilidade[[#This Row],[Quantidade]]&lt;0,"Saída",""))</f>
        <v>Entrada</v>
      </c>
    </row>
    <row r="117" spans="1:7" x14ac:dyDescent="0.25">
      <c r="A117" s="25">
        <v>45596.378468287039</v>
      </c>
      <c r="B117" s="26">
        <v>2030151120</v>
      </c>
      <c r="C117" s="26">
        <v>186</v>
      </c>
      <c r="D117" s="26">
        <v>16586</v>
      </c>
      <c r="E117" s="26" t="s">
        <v>101</v>
      </c>
      <c r="F117" s="26" t="s">
        <v>596</v>
      </c>
      <c r="G117" s="27" t="str">
        <f>IF(Rastreabilidade[[#This Row],[Quantidade]]&gt;0,"Entrada",IF(Rastreabilidade[[#This Row],[Quantidade]]&lt;0,"Saída",""))</f>
        <v>Entrada</v>
      </c>
    </row>
    <row r="118" spans="1:7" x14ac:dyDescent="0.25">
      <c r="A118" s="25">
        <v>45596.377179629628</v>
      </c>
      <c r="B118" s="26" t="s">
        <v>647</v>
      </c>
      <c r="C118" s="26">
        <v>6</v>
      </c>
      <c r="D118" s="26" t="s">
        <v>648</v>
      </c>
      <c r="E118" s="26" t="s">
        <v>87</v>
      </c>
      <c r="F118" s="26" t="s">
        <v>596</v>
      </c>
      <c r="G118" s="27" t="str">
        <f>IF(Rastreabilidade[[#This Row],[Quantidade]]&gt;0,"Entrada",IF(Rastreabilidade[[#This Row],[Quantidade]]&lt;0,"Saída",""))</f>
        <v>Entrada</v>
      </c>
    </row>
    <row r="119" spans="1:7" x14ac:dyDescent="0.25">
      <c r="A119" s="25">
        <v>45596.374903009259</v>
      </c>
      <c r="B119" s="26" t="s">
        <v>645</v>
      </c>
      <c r="C119" s="26">
        <v>4</v>
      </c>
      <c r="D119" s="26">
        <v>1200001587</v>
      </c>
      <c r="E119" s="26" t="s">
        <v>89</v>
      </c>
      <c r="F119" s="26" t="s">
        <v>596</v>
      </c>
      <c r="G119" s="27" t="str">
        <f>IF(Rastreabilidade[[#This Row],[Quantidade]]&gt;0,"Entrada",IF(Rastreabilidade[[#This Row],[Quantidade]]&lt;0,"Saída",""))</f>
        <v>Entrada</v>
      </c>
    </row>
    <row r="120" spans="1:7" x14ac:dyDescent="0.25">
      <c r="A120" s="25">
        <v>45596.374331712963</v>
      </c>
      <c r="B120" s="26" t="s">
        <v>643</v>
      </c>
      <c r="C120" s="26">
        <v>93</v>
      </c>
      <c r="D120" s="26">
        <v>261</v>
      </c>
      <c r="E120" s="26" t="s">
        <v>93</v>
      </c>
      <c r="F120" s="26" t="s">
        <v>596</v>
      </c>
      <c r="G120" s="27" t="str">
        <f>IF(Rastreabilidade[[#This Row],[Quantidade]]&gt;0,"Entrada",IF(Rastreabilidade[[#This Row],[Quantidade]]&lt;0,"Saída",""))</f>
        <v>Entrada</v>
      </c>
    </row>
    <row r="121" spans="1:7" x14ac:dyDescent="0.25">
      <c r="A121" s="25">
        <v>45596.374004976853</v>
      </c>
      <c r="B121" s="26" t="s">
        <v>641</v>
      </c>
      <c r="C121" s="26">
        <v>34</v>
      </c>
      <c r="D121" s="26">
        <v>267</v>
      </c>
      <c r="E121" s="26" t="s">
        <v>91</v>
      </c>
      <c r="F121" s="26" t="s">
        <v>596</v>
      </c>
      <c r="G121" s="27" t="str">
        <f>IF(Rastreabilidade[[#This Row],[Quantidade]]&gt;0,"Entrada",IF(Rastreabilidade[[#This Row],[Quantidade]]&lt;0,"Saída",""))</f>
        <v>Entrada</v>
      </c>
    </row>
    <row r="122" spans="1:7" x14ac:dyDescent="0.25">
      <c r="A122" s="25">
        <v>45596.37351099537</v>
      </c>
      <c r="B122" s="26" t="s">
        <v>639</v>
      </c>
      <c r="C122" s="26">
        <v>194</v>
      </c>
      <c r="D122" s="26">
        <v>1616</v>
      </c>
      <c r="E122" s="26" t="s">
        <v>99</v>
      </c>
      <c r="F122" s="26" t="s">
        <v>596</v>
      </c>
      <c r="G122" s="27" t="str">
        <f>IF(Rastreabilidade[[#This Row],[Quantidade]]&gt;0,"Entrada",IF(Rastreabilidade[[#This Row],[Quantidade]]&lt;0,"Saída",""))</f>
        <v>Entrada</v>
      </c>
    </row>
    <row r="123" spans="1:7" x14ac:dyDescent="0.25">
      <c r="A123" s="25">
        <v>45596.373076967589</v>
      </c>
      <c r="B123" s="26">
        <v>4179263160</v>
      </c>
      <c r="C123" s="26">
        <v>239</v>
      </c>
      <c r="D123" s="26">
        <v>2713</v>
      </c>
      <c r="E123" s="26" t="s">
        <v>97</v>
      </c>
      <c r="F123" s="26" t="s">
        <v>596</v>
      </c>
      <c r="G123" s="27" t="str">
        <f>IF(Rastreabilidade[[#This Row],[Quantidade]]&gt;0,"Entrada",IF(Rastreabilidade[[#This Row],[Quantidade]]&lt;0,"Saída",""))</f>
        <v>Entrada</v>
      </c>
    </row>
    <row r="124" spans="1:7" x14ac:dyDescent="0.25">
      <c r="A124" s="25">
        <v>45596.372642245369</v>
      </c>
      <c r="B124" s="26" t="s">
        <v>635</v>
      </c>
      <c r="C124" s="26">
        <v>10</v>
      </c>
      <c r="D124" s="26">
        <v>1500001505</v>
      </c>
      <c r="E124" s="26" t="s">
        <v>79</v>
      </c>
      <c r="F124" s="26" t="s">
        <v>596</v>
      </c>
      <c r="G124" s="27" t="str">
        <f>IF(Rastreabilidade[[#This Row],[Quantidade]]&gt;0,"Entrada",IF(Rastreabilidade[[#This Row],[Quantidade]]&lt;0,"Saída",""))</f>
        <v>Entrada</v>
      </c>
    </row>
    <row r="125" spans="1:7" x14ac:dyDescent="0.25">
      <c r="A125" s="25">
        <v>45596.371654050927</v>
      </c>
      <c r="B125" s="26" t="s">
        <v>633</v>
      </c>
      <c r="C125" s="26">
        <v>27</v>
      </c>
      <c r="D125" s="26">
        <v>2922</v>
      </c>
      <c r="E125" s="26" t="s">
        <v>77</v>
      </c>
      <c r="F125" s="26" t="s">
        <v>596</v>
      </c>
      <c r="G125" s="27" t="str">
        <f>IF(Rastreabilidade[[#This Row],[Quantidade]]&gt;0,"Entrada",IF(Rastreabilidade[[#This Row],[Quantidade]]&lt;0,"Saída",""))</f>
        <v>Entrada</v>
      </c>
    </row>
    <row r="126" spans="1:7" x14ac:dyDescent="0.25">
      <c r="A126" s="25">
        <v>45596.37123715278</v>
      </c>
      <c r="B126" s="26" t="s">
        <v>631</v>
      </c>
      <c r="C126" s="26">
        <v>79</v>
      </c>
      <c r="D126" s="26">
        <v>1200003891</v>
      </c>
      <c r="E126" s="26" t="s">
        <v>83</v>
      </c>
      <c r="F126" s="26" t="s">
        <v>596</v>
      </c>
      <c r="G126" s="27" t="str">
        <f>IF(Rastreabilidade[[#This Row],[Quantidade]]&gt;0,"Entrada",IF(Rastreabilidade[[#This Row],[Quantidade]]&lt;0,"Saída",""))</f>
        <v>Entrada</v>
      </c>
    </row>
    <row r="127" spans="1:7" x14ac:dyDescent="0.25">
      <c r="A127" s="25">
        <v>45596.370424768516</v>
      </c>
      <c r="B127" s="26">
        <v>2059792350</v>
      </c>
      <c r="C127" s="26">
        <v>165</v>
      </c>
      <c r="D127" s="26">
        <v>1613</v>
      </c>
      <c r="E127" s="26" t="s">
        <v>85</v>
      </c>
      <c r="F127" s="26" t="s">
        <v>596</v>
      </c>
      <c r="G127" s="27" t="str">
        <f>IF(Rastreabilidade[[#This Row],[Quantidade]]&gt;0,"Entrada",IF(Rastreabilidade[[#This Row],[Quantidade]]&lt;0,"Saída",""))</f>
        <v>Entrada</v>
      </c>
    </row>
    <row r="128" spans="1:7" x14ac:dyDescent="0.25">
      <c r="A128" s="25">
        <v>45596.369587962959</v>
      </c>
      <c r="B128" s="26" t="s">
        <v>626</v>
      </c>
      <c r="C128" s="26">
        <v>9</v>
      </c>
      <c r="D128" s="26">
        <v>1300003427</v>
      </c>
      <c r="E128" s="26" t="s">
        <v>75</v>
      </c>
      <c r="F128" s="26" t="s">
        <v>596</v>
      </c>
      <c r="G128" s="27" t="str">
        <f>IF(Rastreabilidade[[#This Row],[Quantidade]]&gt;0,"Entrada",IF(Rastreabilidade[[#This Row],[Quantidade]]&lt;0,"Saída",""))</f>
        <v>Entrada</v>
      </c>
    </row>
    <row r="129" spans="1:7" x14ac:dyDescent="0.25">
      <c r="A129" s="25">
        <v>45596.368878240741</v>
      </c>
      <c r="B129" s="26">
        <v>1340173170</v>
      </c>
      <c r="C129" s="26">
        <v>107</v>
      </c>
      <c r="D129" s="26">
        <v>1300001708</v>
      </c>
      <c r="E129" s="26" t="s">
        <v>69</v>
      </c>
      <c r="F129" s="26" t="s">
        <v>596</v>
      </c>
      <c r="G129" s="27" t="str">
        <f>IF(Rastreabilidade[[#This Row],[Quantidade]]&gt;0,"Entrada",IF(Rastreabilidade[[#This Row],[Quantidade]]&lt;0,"Saída",""))</f>
        <v>Entrada</v>
      </c>
    </row>
    <row r="130" spans="1:7" x14ac:dyDescent="0.25">
      <c r="A130" s="25">
        <v>45596.368249768515</v>
      </c>
      <c r="B130" s="26" t="s">
        <v>622</v>
      </c>
      <c r="C130" s="26">
        <v>8</v>
      </c>
      <c r="D130" s="26">
        <v>1768</v>
      </c>
      <c r="E130" s="26" t="s">
        <v>67</v>
      </c>
      <c r="F130" s="26" t="s">
        <v>596</v>
      </c>
      <c r="G130" s="27" t="str">
        <f>IF(Rastreabilidade[[#This Row],[Quantidade]]&gt;0,"Entrada",IF(Rastreabilidade[[#This Row],[Quantidade]]&lt;0,"Saída",""))</f>
        <v>Entrada</v>
      </c>
    </row>
    <row r="131" spans="1:7" x14ac:dyDescent="0.25">
      <c r="A131" s="25">
        <v>45596.367845601853</v>
      </c>
      <c r="B131" s="26">
        <v>4184338131</v>
      </c>
      <c r="C131" s="26">
        <v>63</v>
      </c>
      <c r="D131" s="26">
        <v>1235</v>
      </c>
      <c r="E131" s="26" t="s">
        <v>63</v>
      </c>
      <c r="F131" s="26" t="s">
        <v>596</v>
      </c>
      <c r="G131" s="27" t="str">
        <f>IF(Rastreabilidade[[#This Row],[Quantidade]]&gt;0,"Entrada",IF(Rastreabilidade[[#This Row],[Quantidade]]&lt;0,"Saída",""))</f>
        <v>Entrada</v>
      </c>
    </row>
    <row r="132" spans="1:7" x14ac:dyDescent="0.25">
      <c r="A132" s="25">
        <v>45596.367101157404</v>
      </c>
      <c r="B132" s="26" t="s">
        <v>618</v>
      </c>
      <c r="C132" s="26">
        <v>41</v>
      </c>
      <c r="D132" s="26">
        <v>1406</v>
      </c>
      <c r="E132" s="26" t="s">
        <v>43</v>
      </c>
      <c r="F132" s="26" t="s">
        <v>596</v>
      </c>
      <c r="G132" s="27" t="str">
        <f>IF(Rastreabilidade[[#This Row],[Quantidade]]&gt;0,"Entrada",IF(Rastreabilidade[[#This Row],[Quantidade]]&lt;0,"Saída",""))</f>
        <v>Entrada</v>
      </c>
    </row>
    <row r="133" spans="1:7" x14ac:dyDescent="0.25">
      <c r="A133" s="25">
        <v>45596.36637546296</v>
      </c>
      <c r="B133" s="26">
        <v>4176231120</v>
      </c>
      <c r="C133" s="26">
        <v>146</v>
      </c>
      <c r="D133" s="26">
        <v>2302</v>
      </c>
      <c r="E133" s="26" t="s">
        <v>49</v>
      </c>
      <c r="F133" s="26" t="s">
        <v>596</v>
      </c>
      <c r="G133" s="27" t="str">
        <f>IF(Rastreabilidade[[#This Row],[Quantidade]]&gt;0,"Entrada",IF(Rastreabilidade[[#This Row],[Quantidade]]&lt;0,"Saída",""))</f>
        <v>Entrada</v>
      </c>
    </row>
    <row r="134" spans="1:7" x14ac:dyDescent="0.25">
      <c r="A134" s="25">
        <v>45596.365643171295</v>
      </c>
      <c r="B134" s="26">
        <v>4194337870</v>
      </c>
      <c r="C134" s="26">
        <v>8</v>
      </c>
      <c r="D134" s="26">
        <v>1642</v>
      </c>
      <c r="E134" s="26" t="s">
        <v>45</v>
      </c>
      <c r="F134" s="26" t="s">
        <v>596</v>
      </c>
      <c r="G134" s="27" t="str">
        <f>IF(Rastreabilidade[[#This Row],[Quantidade]]&gt;0,"Entrada",IF(Rastreabilidade[[#This Row],[Quantidade]]&lt;0,"Saída",""))</f>
        <v>Entrada</v>
      </c>
    </row>
    <row r="135" spans="1:7" x14ac:dyDescent="0.25">
      <c r="A135" s="25">
        <v>45596.358962847225</v>
      </c>
      <c r="B135" s="26">
        <v>42051061</v>
      </c>
      <c r="C135" s="26">
        <v>451</v>
      </c>
      <c r="D135" s="26">
        <v>1300004666</v>
      </c>
      <c r="E135" s="26" t="s">
        <v>41</v>
      </c>
      <c r="F135" s="26" t="s">
        <v>596</v>
      </c>
      <c r="G135" s="27" t="str">
        <f>IF(Rastreabilidade[[#This Row],[Quantidade]]&gt;0,"Entrada",IF(Rastreabilidade[[#This Row],[Quantidade]]&lt;0,"Saída",""))</f>
        <v>Entrada</v>
      </c>
    </row>
    <row r="136" spans="1:7" x14ac:dyDescent="0.25">
      <c r="A136" s="25">
        <v>45596.358284027781</v>
      </c>
      <c r="B136" s="26" t="s">
        <v>610</v>
      </c>
      <c r="C136" s="26">
        <v>88</v>
      </c>
      <c r="D136" s="26">
        <v>2855</v>
      </c>
      <c r="E136" s="26" t="s">
        <v>61</v>
      </c>
      <c r="F136" s="26" t="s">
        <v>596</v>
      </c>
      <c r="G136" s="27" t="str">
        <f>IF(Rastreabilidade[[#This Row],[Quantidade]]&gt;0,"Entrada",IF(Rastreabilidade[[#This Row],[Quantidade]]&lt;0,"Saída",""))</f>
        <v>Entrada</v>
      </c>
    </row>
    <row r="137" spans="1:7" x14ac:dyDescent="0.25">
      <c r="A137" s="25">
        <v>45596.357643055555</v>
      </c>
      <c r="B137" s="26">
        <v>2089797540</v>
      </c>
      <c r="C137" s="26">
        <v>977</v>
      </c>
      <c r="D137" s="26">
        <v>2307</v>
      </c>
      <c r="E137" s="26" t="s">
        <v>57</v>
      </c>
      <c r="F137" s="26" t="s">
        <v>596</v>
      </c>
      <c r="G137" s="27" t="str">
        <f>IF(Rastreabilidade[[#This Row],[Quantidade]]&gt;0,"Entrada",IF(Rastreabilidade[[#This Row],[Quantidade]]&lt;0,"Saída",""))</f>
        <v>Entrada</v>
      </c>
    </row>
    <row r="138" spans="1:7" x14ac:dyDescent="0.25">
      <c r="A138" s="25">
        <v>45596.35680439815</v>
      </c>
      <c r="B138" s="26" t="s">
        <v>606</v>
      </c>
      <c r="C138" s="26">
        <v>140</v>
      </c>
      <c r="D138" s="26">
        <v>2912</v>
      </c>
      <c r="E138" s="26" t="s">
        <v>55</v>
      </c>
      <c r="F138" s="26" t="s">
        <v>596</v>
      </c>
      <c r="G138" s="27" t="str">
        <f>IF(Rastreabilidade[[#This Row],[Quantidade]]&gt;0,"Entrada",IF(Rastreabilidade[[#This Row],[Quantidade]]&lt;0,"Saída",""))</f>
        <v>Entrada</v>
      </c>
    </row>
    <row r="139" spans="1:7" x14ac:dyDescent="0.25">
      <c r="A139" s="25">
        <v>45596.355510300928</v>
      </c>
      <c r="B139" s="26">
        <v>1247251540</v>
      </c>
      <c r="C139" s="26">
        <v>63</v>
      </c>
      <c r="D139" s="26">
        <v>3246</v>
      </c>
      <c r="E139" s="26" t="s">
        <v>27</v>
      </c>
      <c r="F139" s="26" t="s">
        <v>596</v>
      </c>
      <c r="G139" s="27" t="str">
        <f>IF(Rastreabilidade[[#This Row],[Quantidade]]&gt;0,"Entrada",IF(Rastreabilidade[[#This Row],[Quantidade]]&lt;0,"Saída",""))</f>
        <v>Entrada</v>
      </c>
    </row>
    <row r="140" spans="1:7" x14ac:dyDescent="0.25">
      <c r="A140" s="25">
        <v>45596.35453773148</v>
      </c>
      <c r="B140" s="26" t="s">
        <v>602</v>
      </c>
      <c r="C140" s="26">
        <v>1</v>
      </c>
      <c r="D140" s="26">
        <v>2955</v>
      </c>
      <c r="E140" s="26" t="s">
        <v>25</v>
      </c>
      <c r="F140" s="26" t="s">
        <v>596</v>
      </c>
      <c r="G140" s="27" t="str">
        <f>IF(Rastreabilidade[[#This Row],[Quantidade]]&gt;0,"Entrada",IF(Rastreabilidade[[#This Row],[Quantidade]]&lt;0,"Saída",""))</f>
        <v>Entrada</v>
      </c>
    </row>
    <row r="141" spans="1:7" x14ac:dyDescent="0.25">
      <c r="A141" s="25">
        <v>45596.352729166669</v>
      </c>
      <c r="B141" s="26">
        <v>4176214130</v>
      </c>
      <c r="C141" s="26">
        <v>584</v>
      </c>
      <c r="D141" s="26">
        <v>14777</v>
      </c>
      <c r="E141" s="26" t="s">
        <v>53</v>
      </c>
      <c r="F141" s="26" t="s">
        <v>596</v>
      </c>
      <c r="G141" s="27" t="str">
        <f>IF(Rastreabilidade[[#This Row],[Quantidade]]&gt;0,"Entrada",IF(Rastreabilidade[[#This Row],[Quantidade]]&lt;0,"Saída",""))</f>
        <v>Entrada</v>
      </c>
    </row>
    <row r="142" spans="1:7" x14ac:dyDescent="0.25">
      <c r="A142" s="25">
        <v>45596.347909259261</v>
      </c>
      <c r="B142" s="26" t="s">
        <v>598</v>
      </c>
      <c r="C142" s="26">
        <v>5</v>
      </c>
      <c r="D142" s="26">
        <v>1400003153</v>
      </c>
      <c r="E142" s="26" t="s">
        <v>21</v>
      </c>
      <c r="F142" s="26" t="s">
        <v>596</v>
      </c>
      <c r="G142" s="27" t="str">
        <f>IF(Rastreabilidade[[#This Row],[Quantidade]]&gt;0,"Entrada",IF(Rastreabilidade[[#This Row],[Quantidade]]&lt;0,"Saída",""))</f>
        <v>Entrada</v>
      </c>
    </row>
    <row r="143" spans="1:7" x14ac:dyDescent="0.25">
      <c r="A143" s="25">
        <v>45588</v>
      </c>
      <c r="B143" s="26" t="s">
        <v>595</v>
      </c>
      <c r="C143" s="26">
        <v>-60</v>
      </c>
      <c r="D143" s="26">
        <v>11812</v>
      </c>
      <c r="E143" s="26" t="s">
        <v>15</v>
      </c>
      <c r="F143" s="26" t="s">
        <v>596</v>
      </c>
      <c r="G143" s="27" t="str">
        <f>IF(Rastreabilidade[[#This Row],[Quantidade]]&gt;0,"Entrada",IF(Rastreabilidade[[#This Row],[Quantidade]]&lt;0,"Saída",""))</f>
        <v>Saída</v>
      </c>
    </row>
    <row r="144" spans="1:7" x14ac:dyDescent="0.25">
      <c r="A144" s="25">
        <v>45580</v>
      </c>
      <c r="B144" s="26" t="s">
        <v>595</v>
      </c>
      <c r="C144" s="26">
        <v>134</v>
      </c>
      <c r="D144" s="26">
        <v>11812</v>
      </c>
      <c r="E144" s="26" t="s">
        <v>15</v>
      </c>
      <c r="F144" s="26" t="s">
        <v>596</v>
      </c>
      <c r="G144" s="27" t="str">
        <f>IF(Rastreabilidade[[#This Row],[Quantidade]]&gt;0,"Entrada",IF(Rastreabilidade[[#This Row],[Quantidade]]&lt;0,"Saída",""))</f>
        <v>Entrada</v>
      </c>
    </row>
    <row r="145" spans="1:7" x14ac:dyDescent="0.25">
      <c r="A145" s="12"/>
      <c r="B145" s="3"/>
      <c r="C145" s="3"/>
      <c r="D145" s="3"/>
      <c r="E145" s="3"/>
      <c r="F145" s="3"/>
      <c r="G145" s="4" t="str">
        <f>IF(Rastreabilidade[[#This Row],[Quantidade]]&gt;0,"Entrada",IF(Rastreabilidade[[#This Row],[Quantidade]]&lt;0,"Saída",""))</f>
        <v/>
      </c>
    </row>
  </sheetData>
  <sheetProtection selectLockedCell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7D475-07C0-4585-9D6E-991F738B3C59}">
  <sheetPr codeName="Planilha5"/>
  <dimension ref="A1:C609"/>
  <sheetViews>
    <sheetView topLeftCell="A3" workbookViewId="0">
      <selection activeCell="C609" sqref="C609"/>
    </sheetView>
  </sheetViews>
  <sheetFormatPr defaultRowHeight="15" x14ac:dyDescent="0.25"/>
  <cols>
    <col min="1" max="1" width="11.7109375" bestFit="1" customWidth="1"/>
    <col min="2" max="2" width="21.140625" bestFit="1" customWidth="1"/>
    <col min="3" max="3" width="17.42578125" bestFit="1" customWidth="1"/>
  </cols>
  <sheetData>
    <row r="1" spans="1:3" x14ac:dyDescent="0.25">
      <c r="A1" s="23" t="s">
        <v>10</v>
      </c>
      <c r="B1" s="23" t="s">
        <v>11</v>
      </c>
      <c r="C1" s="23" t="s">
        <v>12</v>
      </c>
    </row>
    <row r="2" spans="1:3" x14ac:dyDescent="0.25">
      <c r="A2">
        <v>10107000</v>
      </c>
      <c r="B2" t="s">
        <v>13</v>
      </c>
    </row>
    <row r="3" spans="1:3" x14ac:dyDescent="0.25">
      <c r="A3">
        <v>10107001</v>
      </c>
      <c r="B3" t="s">
        <v>14</v>
      </c>
      <c r="C3" t="s">
        <v>15</v>
      </c>
    </row>
    <row r="4" spans="1:3" x14ac:dyDescent="0.25">
      <c r="A4">
        <v>10107002</v>
      </c>
      <c r="B4" t="s">
        <v>16</v>
      </c>
      <c r="C4" t="s">
        <v>17</v>
      </c>
    </row>
    <row r="5" spans="1:3" x14ac:dyDescent="0.25">
      <c r="A5">
        <v>10107003</v>
      </c>
      <c r="B5" t="s">
        <v>18</v>
      </c>
      <c r="C5" t="s">
        <v>19</v>
      </c>
    </row>
    <row r="6" spans="1:3" x14ac:dyDescent="0.25">
      <c r="A6">
        <v>10107004</v>
      </c>
      <c r="B6" t="s">
        <v>20</v>
      </c>
      <c r="C6" t="s">
        <v>21</v>
      </c>
    </row>
    <row r="7" spans="1:3" x14ac:dyDescent="0.25">
      <c r="A7">
        <v>10107005</v>
      </c>
      <c r="B7" t="s">
        <v>22</v>
      </c>
      <c r="C7" t="s">
        <v>23</v>
      </c>
    </row>
    <row r="8" spans="1:3" x14ac:dyDescent="0.25">
      <c r="A8">
        <v>10107006</v>
      </c>
      <c r="B8" t="s">
        <v>24</v>
      </c>
      <c r="C8" t="s">
        <v>25</v>
      </c>
    </row>
    <row r="9" spans="1:3" x14ac:dyDescent="0.25">
      <c r="A9">
        <v>10107007</v>
      </c>
      <c r="B9" t="s">
        <v>26</v>
      </c>
      <c r="C9" t="s">
        <v>27</v>
      </c>
    </row>
    <row r="10" spans="1:3" x14ac:dyDescent="0.25">
      <c r="A10">
        <v>10107008</v>
      </c>
      <c r="B10" t="s">
        <v>28</v>
      </c>
      <c r="C10" t="s">
        <v>29</v>
      </c>
    </row>
    <row r="11" spans="1:3" x14ac:dyDescent="0.25">
      <c r="A11">
        <v>10107009</v>
      </c>
      <c r="B11" t="s">
        <v>30</v>
      </c>
      <c r="C11" t="s">
        <v>31</v>
      </c>
    </row>
    <row r="12" spans="1:3" x14ac:dyDescent="0.25">
      <c r="A12">
        <v>10107010</v>
      </c>
      <c r="B12" t="s">
        <v>32</v>
      </c>
      <c r="C12" t="s">
        <v>33</v>
      </c>
    </row>
    <row r="13" spans="1:3" x14ac:dyDescent="0.25">
      <c r="A13">
        <v>10107011</v>
      </c>
      <c r="B13" t="s">
        <v>34</v>
      </c>
      <c r="C13" t="s">
        <v>35</v>
      </c>
    </row>
    <row r="14" spans="1:3" x14ac:dyDescent="0.25">
      <c r="A14">
        <v>10107012</v>
      </c>
      <c r="B14" t="s">
        <v>36</v>
      </c>
      <c r="C14" t="s">
        <v>37</v>
      </c>
    </row>
    <row r="15" spans="1:3" x14ac:dyDescent="0.25">
      <c r="A15">
        <v>10107013</v>
      </c>
      <c r="B15" t="s">
        <v>38</v>
      </c>
      <c r="C15" t="s">
        <v>39</v>
      </c>
    </row>
    <row r="16" spans="1:3" x14ac:dyDescent="0.25">
      <c r="A16">
        <v>10107014</v>
      </c>
      <c r="B16" t="s">
        <v>40</v>
      </c>
      <c r="C16" t="s">
        <v>41</v>
      </c>
    </row>
    <row r="17" spans="1:3" x14ac:dyDescent="0.25">
      <c r="A17">
        <v>10107015</v>
      </c>
      <c r="B17" t="s">
        <v>42</v>
      </c>
      <c r="C17" t="s">
        <v>43</v>
      </c>
    </row>
    <row r="18" spans="1:3" x14ac:dyDescent="0.25">
      <c r="A18">
        <v>10107016</v>
      </c>
      <c r="B18" t="s">
        <v>44</v>
      </c>
      <c r="C18" t="s">
        <v>45</v>
      </c>
    </row>
    <row r="19" spans="1:3" x14ac:dyDescent="0.25">
      <c r="A19">
        <v>10107017</v>
      </c>
      <c r="B19" t="s">
        <v>46</v>
      </c>
      <c r="C19" t="s">
        <v>47</v>
      </c>
    </row>
    <row r="20" spans="1:3" x14ac:dyDescent="0.25">
      <c r="A20">
        <v>10107018</v>
      </c>
      <c r="B20" t="s">
        <v>48</v>
      </c>
      <c r="C20" t="s">
        <v>49</v>
      </c>
    </row>
    <row r="21" spans="1:3" x14ac:dyDescent="0.25">
      <c r="A21">
        <v>10107019</v>
      </c>
      <c r="B21" t="s">
        <v>50</v>
      </c>
      <c r="C21" t="s">
        <v>51</v>
      </c>
    </row>
    <row r="22" spans="1:3" x14ac:dyDescent="0.25">
      <c r="A22">
        <v>10107020</v>
      </c>
      <c r="B22" t="s">
        <v>52</v>
      </c>
      <c r="C22" t="s">
        <v>53</v>
      </c>
    </row>
    <row r="23" spans="1:3" x14ac:dyDescent="0.25">
      <c r="A23">
        <v>10107021</v>
      </c>
      <c r="B23" t="s">
        <v>54</v>
      </c>
      <c r="C23" t="s">
        <v>55</v>
      </c>
    </row>
    <row r="24" spans="1:3" x14ac:dyDescent="0.25">
      <c r="A24">
        <v>10107022</v>
      </c>
      <c r="B24" t="s">
        <v>56</v>
      </c>
      <c r="C24" t="s">
        <v>57</v>
      </c>
    </row>
    <row r="25" spans="1:3" x14ac:dyDescent="0.25">
      <c r="A25">
        <v>10107023</v>
      </c>
      <c r="B25" t="s">
        <v>58</v>
      </c>
      <c r="C25" t="s">
        <v>59</v>
      </c>
    </row>
    <row r="26" spans="1:3" x14ac:dyDescent="0.25">
      <c r="A26">
        <v>10107024</v>
      </c>
      <c r="B26" t="s">
        <v>60</v>
      </c>
      <c r="C26" t="s">
        <v>61</v>
      </c>
    </row>
    <row r="27" spans="1:3" x14ac:dyDescent="0.25">
      <c r="A27">
        <v>10107025</v>
      </c>
      <c r="B27" t="s">
        <v>62</v>
      </c>
      <c r="C27" t="s">
        <v>63</v>
      </c>
    </row>
    <row r="28" spans="1:3" x14ac:dyDescent="0.25">
      <c r="A28">
        <v>10107026</v>
      </c>
      <c r="B28" t="s">
        <v>64</v>
      </c>
      <c r="C28" t="s">
        <v>65</v>
      </c>
    </row>
    <row r="29" spans="1:3" x14ac:dyDescent="0.25">
      <c r="A29">
        <v>10107027</v>
      </c>
      <c r="B29" t="s">
        <v>66</v>
      </c>
      <c r="C29" t="s">
        <v>67</v>
      </c>
    </row>
    <row r="30" spans="1:3" x14ac:dyDescent="0.25">
      <c r="A30">
        <v>10107028</v>
      </c>
      <c r="B30" t="s">
        <v>68</v>
      </c>
      <c r="C30" t="s">
        <v>69</v>
      </c>
    </row>
    <row r="31" spans="1:3" x14ac:dyDescent="0.25">
      <c r="A31">
        <v>10107029</v>
      </c>
      <c r="B31" t="s">
        <v>70</v>
      </c>
      <c r="C31" t="s">
        <v>71</v>
      </c>
    </row>
    <row r="32" spans="1:3" x14ac:dyDescent="0.25">
      <c r="A32">
        <v>10107030</v>
      </c>
      <c r="B32" t="s">
        <v>72</v>
      </c>
      <c r="C32" t="s">
        <v>73</v>
      </c>
    </row>
    <row r="33" spans="1:3" x14ac:dyDescent="0.25">
      <c r="A33">
        <v>10107031</v>
      </c>
      <c r="B33" t="s">
        <v>74</v>
      </c>
      <c r="C33" t="s">
        <v>75</v>
      </c>
    </row>
    <row r="34" spans="1:3" x14ac:dyDescent="0.25">
      <c r="A34">
        <v>10107032</v>
      </c>
      <c r="B34" t="s">
        <v>76</v>
      </c>
      <c r="C34" t="s">
        <v>77</v>
      </c>
    </row>
    <row r="35" spans="1:3" x14ac:dyDescent="0.25">
      <c r="A35">
        <v>10107033</v>
      </c>
      <c r="B35" t="s">
        <v>78</v>
      </c>
      <c r="C35" t="s">
        <v>79</v>
      </c>
    </row>
    <row r="36" spans="1:3" x14ac:dyDescent="0.25">
      <c r="A36">
        <v>10107034</v>
      </c>
      <c r="B36" t="s">
        <v>80</v>
      </c>
      <c r="C36" t="s">
        <v>81</v>
      </c>
    </row>
    <row r="37" spans="1:3" x14ac:dyDescent="0.25">
      <c r="A37">
        <v>10107035</v>
      </c>
      <c r="B37" t="s">
        <v>82</v>
      </c>
      <c r="C37" t="s">
        <v>83</v>
      </c>
    </row>
    <row r="38" spans="1:3" x14ac:dyDescent="0.25">
      <c r="A38">
        <v>10107036</v>
      </c>
      <c r="B38" t="s">
        <v>84</v>
      </c>
      <c r="C38" t="s">
        <v>85</v>
      </c>
    </row>
    <row r="39" spans="1:3" x14ac:dyDescent="0.25">
      <c r="A39">
        <v>10107037</v>
      </c>
      <c r="B39" t="s">
        <v>86</v>
      </c>
      <c r="C39" t="s">
        <v>87</v>
      </c>
    </row>
    <row r="40" spans="1:3" x14ac:dyDescent="0.25">
      <c r="A40">
        <v>10107038</v>
      </c>
      <c r="B40" t="s">
        <v>88</v>
      </c>
      <c r="C40" t="s">
        <v>89</v>
      </c>
    </row>
    <row r="41" spans="1:3" x14ac:dyDescent="0.25">
      <c r="A41">
        <v>10107039</v>
      </c>
      <c r="B41" t="s">
        <v>90</v>
      </c>
      <c r="C41" t="s">
        <v>91</v>
      </c>
    </row>
    <row r="42" spans="1:3" x14ac:dyDescent="0.25">
      <c r="A42">
        <v>10107040</v>
      </c>
      <c r="B42" t="s">
        <v>92</v>
      </c>
      <c r="C42" t="s">
        <v>93</v>
      </c>
    </row>
    <row r="43" spans="1:3" x14ac:dyDescent="0.25">
      <c r="A43">
        <v>10107041</v>
      </c>
      <c r="B43" t="s">
        <v>94</v>
      </c>
      <c r="C43" t="s">
        <v>95</v>
      </c>
    </row>
    <row r="44" spans="1:3" x14ac:dyDescent="0.25">
      <c r="A44">
        <v>10107042</v>
      </c>
      <c r="B44" t="s">
        <v>96</v>
      </c>
      <c r="C44" t="s">
        <v>97</v>
      </c>
    </row>
    <row r="45" spans="1:3" x14ac:dyDescent="0.25">
      <c r="A45">
        <v>10107043</v>
      </c>
      <c r="B45" t="s">
        <v>98</v>
      </c>
      <c r="C45" t="s">
        <v>99</v>
      </c>
    </row>
    <row r="46" spans="1:3" x14ac:dyDescent="0.25">
      <c r="A46">
        <v>10107044</v>
      </c>
      <c r="B46" t="s">
        <v>100</v>
      </c>
      <c r="C46" t="s">
        <v>101</v>
      </c>
    </row>
    <row r="47" spans="1:3" x14ac:dyDescent="0.25">
      <c r="A47">
        <v>10107045</v>
      </c>
      <c r="B47" t="s">
        <v>102</v>
      </c>
      <c r="C47" t="s">
        <v>103</v>
      </c>
    </row>
    <row r="48" spans="1:3" x14ac:dyDescent="0.25">
      <c r="A48">
        <v>10107046</v>
      </c>
      <c r="B48" t="s">
        <v>104</v>
      </c>
      <c r="C48" t="s">
        <v>105</v>
      </c>
    </row>
    <row r="49" spans="1:3" x14ac:dyDescent="0.25">
      <c r="A49">
        <v>10107047</v>
      </c>
      <c r="B49" t="s">
        <v>106</v>
      </c>
      <c r="C49" t="s">
        <v>107</v>
      </c>
    </row>
    <row r="50" spans="1:3" x14ac:dyDescent="0.25">
      <c r="A50">
        <v>10107048</v>
      </c>
      <c r="B50" t="s">
        <v>108</v>
      </c>
      <c r="C50" t="s">
        <v>109</v>
      </c>
    </row>
    <row r="51" spans="1:3" x14ac:dyDescent="0.25">
      <c r="A51">
        <v>10107049</v>
      </c>
      <c r="B51" t="s">
        <v>110</v>
      </c>
      <c r="C51" t="s">
        <v>111</v>
      </c>
    </row>
    <row r="52" spans="1:3" x14ac:dyDescent="0.25">
      <c r="A52">
        <v>10107050</v>
      </c>
      <c r="B52" t="s">
        <v>112</v>
      </c>
      <c r="C52" t="s">
        <v>113</v>
      </c>
    </row>
    <row r="53" spans="1:3" x14ac:dyDescent="0.25">
      <c r="A53">
        <v>10107051</v>
      </c>
      <c r="B53" t="s">
        <v>114</v>
      </c>
      <c r="C53" t="s">
        <v>115</v>
      </c>
    </row>
    <row r="54" spans="1:3" x14ac:dyDescent="0.25">
      <c r="A54">
        <v>10107052</v>
      </c>
      <c r="B54" t="s">
        <v>116</v>
      </c>
      <c r="C54" t="s">
        <v>117</v>
      </c>
    </row>
    <row r="55" spans="1:3" x14ac:dyDescent="0.25">
      <c r="A55">
        <v>10107053</v>
      </c>
      <c r="B55" t="s">
        <v>118</v>
      </c>
      <c r="C55" t="s">
        <v>119</v>
      </c>
    </row>
    <row r="56" spans="1:3" x14ac:dyDescent="0.25">
      <c r="A56">
        <v>10107054</v>
      </c>
      <c r="B56" t="s">
        <v>120</v>
      </c>
      <c r="C56" t="s">
        <v>121</v>
      </c>
    </row>
    <row r="57" spans="1:3" x14ac:dyDescent="0.25">
      <c r="A57">
        <v>10107055</v>
      </c>
      <c r="B57" t="s">
        <v>122</v>
      </c>
      <c r="C57" t="s">
        <v>123</v>
      </c>
    </row>
    <row r="58" spans="1:3" x14ac:dyDescent="0.25">
      <c r="A58">
        <v>10107056</v>
      </c>
      <c r="B58" t="s">
        <v>124</v>
      </c>
      <c r="C58" t="s">
        <v>125</v>
      </c>
    </row>
    <row r="59" spans="1:3" x14ac:dyDescent="0.25">
      <c r="A59">
        <v>10107057</v>
      </c>
      <c r="B59" t="s">
        <v>126</v>
      </c>
      <c r="C59" t="s">
        <v>127</v>
      </c>
    </row>
    <row r="60" spans="1:3" x14ac:dyDescent="0.25">
      <c r="A60">
        <v>10107058</v>
      </c>
      <c r="B60" t="s">
        <v>128</v>
      </c>
      <c r="C60" t="s">
        <v>129</v>
      </c>
    </row>
    <row r="61" spans="1:3" x14ac:dyDescent="0.25">
      <c r="A61">
        <v>10107059</v>
      </c>
      <c r="B61" t="s">
        <v>130</v>
      </c>
      <c r="C61" t="s">
        <v>131</v>
      </c>
    </row>
    <row r="62" spans="1:3" x14ac:dyDescent="0.25">
      <c r="A62">
        <v>10107060</v>
      </c>
      <c r="B62" t="s">
        <v>132</v>
      </c>
      <c r="C62" t="s">
        <v>133</v>
      </c>
    </row>
    <row r="63" spans="1:3" x14ac:dyDescent="0.25">
      <c r="A63">
        <v>10107061</v>
      </c>
      <c r="B63" t="s">
        <v>134</v>
      </c>
      <c r="C63" t="s">
        <v>135</v>
      </c>
    </row>
    <row r="64" spans="1:3" x14ac:dyDescent="0.25">
      <c r="A64">
        <v>10107062</v>
      </c>
      <c r="B64" t="s">
        <v>136</v>
      </c>
      <c r="C64" t="s">
        <v>137</v>
      </c>
    </row>
    <row r="65" spans="1:3" x14ac:dyDescent="0.25">
      <c r="A65">
        <v>10107063</v>
      </c>
      <c r="B65" t="s">
        <v>138</v>
      </c>
      <c r="C65" t="s">
        <v>139</v>
      </c>
    </row>
    <row r="66" spans="1:3" x14ac:dyDescent="0.25">
      <c r="A66">
        <v>10107064</v>
      </c>
      <c r="B66" t="s">
        <v>140</v>
      </c>
      <c r="C66" t="s">
        <v>141</v>
      </c>
    </row>
    <row r="67" spans="1:3" x14ac:dyDescent="0.25">
      <c r="A67">
        <v>10107065</v>
      </c>
      <c r="B67" t="s">
        <v>142</v>
      </c>
      <c r="C67" t="s">
        <v>143</v>
      </c>
    </row>
    <row r="68" spans="1:3" x14ac:dyDescent="0.25">
      <c r="A68">
        <v>10107066</v>
      </c>
      <c r="B68" t="s">
        <v>144</v>
      </c>
      <c r="C68" t="s">
        <v>145</v>
      </c>
    </row>
    <row r="69" spans="1:3" x14ac:dyDescent="0.25">
      <c r="A69">
        <v>10107067</v>
      </c>
      <c r="B69" t="s">
        <v>146</v>
      </c>
      <c r="C69" t="s">
        <v>147</v>
      </c>
    </row>
    <row r="70" spans="1:3" x14ac:dyDescent="0.25">
      <c r="A70">
        <v>10107068</v>
      </c>
      <c r="B70" t="s">
        <v>148</v>
      </c>
      <c r="C70" t="s">
        <v>149</v>
      </c>
    </row>
    <row r="71" spans="1:3" x14ac:dyDescent="0.25">
      <c r="A71">
        <v>10107069</v>
      </c>
      <c r="B71" t="s">
        <v>150</v>
      </c>
      <c r="C71" t="s">
        <v>151</v>
      </c>
    </row>
    <row r="72" spans="1:3" x14ac:dyDescent="0.25">
      <c r="A72">
        <v>10107070</v>
      </c>
      <c r="B72" t="s">
        <v>152</v>
      </c>
      <c r="C72" t="s">
        <v>153</v>
      </c>
    </row>
    <row r="73" spans="1:3" x14ac:dyDescent="0.25">
      <c r="A73">
        <v>10107071</v>
      </c>
      <c r="B73" t="s">
        <v>154</v>
      </c>
      <c r="C73" t="s">
        <v>155</v>
      </c>
    </row>
    <row r="74" spans="1:3" x14ac:dyDescent="0.25">
      <c r="A74">
        <v>10107072</v>
      </c>
      <c r="B74" t="s">
        <v>156</v>
      </c>
      <c r="C74" t="s">
        <v>157</v>
      </c>
    </row>
    <row r="75" spans="1:3" x14ac:dyDescent="0.25">
      <c r="A75">
        <v>10107073</v>
      </c>
      <c r="B75" t="s">
        <v>158</v>
      </c>
      <c r="C75" t="s">
        <v>159</v>
      </c>
    </row>
    <row r="76" spans="1:3" x14ac:dyDescent="0.25">
      <c r="A76">
        <v>10107074</v>
      </c>
      <c r="B76" t="s">
        <v>160</v>
      </c>
      <c r="C76" t="s">
        <v>161</v>
      </c>
    </row>
    <row r="77" spans="1:3" x14ac:dyDescent="0.25">
      <c r="A77">
        <v>10107075</v>
      </c>
      <c r="B77" t="s">
        <v>162</v>
      </c>
      <c r="C77" t="s">
        <v>163</v>
      </c>
    </row>
    <row r="78" spans="1:3" x14ac:dyDescent="0.25">
      <c r="A78">
        <v>10107076</v>
      </c>
      <c r="B78" t="s">
        <v>164</v>
      </c>
      <c r="C78" t="s">
        <v>165</v>
      </c>
    </row>
    <row r="79" spans="1:3" x14ac:dyDescent="0.25">
      <c r="A79">
        <v>10107077</v>
      </c>
      <c r="B79" t="s">
        <v>166</v>
      </c>
      <c r="C79" t="s">
        <v>167</v>
      </c>
    </row>
    <row r="80" spans="1:3" x14ac:dyDescent="0.25">
      <c r="A80">
        <v>10107078</v>
      </c>
      <c r="B80" t="s">
        <v>168</v>
      </c>
      <c r="C80" t="s">
        <v>169</v>
      </c>
    </row>
    <row r="81" spans="1:3" x14ac:dyDescent="0.25">
      <c r="A81">
        <v>10107079</v>
      </c>
      <c r="B81" t="s">
        <v>170</v>
      </c>
      <c r="C81" t="s">
        <v>171</v>
      </c>
    </row>
    <row r="82" spans="1:3" x14ac:dyDescent="0.25">
      <c r="A82">
        <v>10107080</v>
      </c>
      <c r="B82" t="s">
        <v>172</v>
      </c>
      <c r="C82" t="s">
        <v>173</v>
      </c>
    </row>
    <row r="83" spans="1:3" x14ac:dyDescent="0.25">
      <c r="A83">
        <v>10107081</v>
      </c>
      <c r="B83" t="s">
        <v>174</v>
      </c>
      <c r="C83" t="s">
        <v>175</v>
      </c>
    </row>
    <row r="84" spans="1:3" x14ac:dyDescent="0.25">
      <c r="A84">
        <v>10107082</v>
      </c>
      <c r="B84" t="s">
        <v>176</v>
      </c>
      <c r="C84" t="s">
        <v>177</v>
      </c>
    </row>
    <row r="85" spans="1:3" x14ac:dyDescent="0.25">
      <c r="A85">
        <v>10107083</v>
      </c>
      <c r="B85" t="s">
        <v>178</v>
      </c>
      <c r="C85" t="s">
        <v>179</v>
      </c>
    </row>
    <row r="86" spans="1:3" x14ac:dyDescent="0.25">
      <c r="A86">
        <v>10107084</v>
      </c>
      <c r="B86" t="s">
        <v>180</v>
      </c>
      <c r="C86" t="s">
        <v>181</v>
      </c>
    </row>
    <row r="87" spans="1:3" x14ac:dyDescent="0.25">
      <c r="A87">
        <v>10107085</v>
      </c>
      <c r="B87" t="s">
        <v>182</v>
      </c>
      <c r="C87" t="s">
        <v>183</v>
      </c>
    </row>
    <row r="88" spans="1:3" x14ac:dyDescent="0.25">
      <c r="A88">
        <v>10107086</v>
      </c>
      <c r="B88" t="s">
        <v>184</v>
      </c>
      <c r="C88" t="s">
        <v>185</v>
      </c>
    </row>
    <row r="89" spans="1:3" x14ac:dyDescent="0.25">
      <c r="A89">
        <v>10107087</v>
      </c>
      <c r="B89" t="s">
        <v>186</v>
      </c>
      <c r="C89" t="s">
        <v>187</v>
      </c>
    </row>
    <row r="90" spans="1:3" x14ac:dyDescent="0.25">
      <c r="A90">
        <v>10107088</v>
      </c>
      <c r="B90" t="s">
        <v>188</v>
      </c>
      <c r="C90" t="s">
        <v>189</v>
      </c>
    </row>
    <row r="91" spans="1:3" x14ac:dyDescent="0.25">
      <c r="A91">
        <v>10107089</v>
      </c>
      <c r="B91" t="s">
        <v>190</v>
      </c>
      <c r="C91" t="s">
        <v>191</v>
      </c>
    </row>
    <row r="92" spans="1:3" x14ac:dyDescent="0.25">
      <c r="A92">
        <v>10107090</v>
      </c>
      <c r="B92" t="s">
        <v>192</v>
      </c>
      <c r="C92" t="s">
        <v>193</v>
      </c>
    </row>
    <row r="93" spans="1:3" x14ac:dyDescent="0.25">
      <c r="A93">
        <v>10107091</v>
      </c>
      <c r="B93" t="s">
        <v>194</v>
      </c>
      <c r="C93" t="s">
        <v>195</v>
      </c>
    </row>
    <row r="94" spans="1:3" x14ac:dyDescent="0.25">
      <c r="A94">
        <v>10107092</v>
      </c>
      <c r="B94" t="s">
        <v>196</v>
      </c>
      <c r="C94" t="s">
        <v>197</v>
      </c>
    </row>
    <row r="95" spans="1:3" x14ac:dyDescent="0.25">
      <c r="A95">
        <v>10107093</v>
      </c>
      <c r="B95" t="s">
        <v>198</v>
      </c>
      <c r="C95" t="s">
        <v>199</v>
      </c>
    </row>
    <row r="96" spans="1:3" x14ac:dyDescent="0.25">
      <c r="A96">
        <v>10107094</v>
      </c>
      <c r="B96" t="s">
        <v>200</v>
      </c>
      <c r="C96" t="s">
        <v>201</v>
      </c>
    </row>
    <row r="97" spans="1:3" x14ac:dyDescent="0.25">
      <c r="A97">
        <v>10107095</v>
      </c>
      <c r="B97" t="s">
        <v>202</v>
      </c>
      <c r="C97" t="s">
        <v>203</v>
      </c>
    </row>
    <row r="98" spans="1:3" x14ac:dyDescent="0.25">
      <c r="A98">
        <v>10107096</v>
      </c>
      <c r="B98" t="s">
        <v>204</v>
      </c>
      <c r="C98" t="s">
        <v>205</v>
      </c>
    </row>
    <row r="99" spans="1:3" x14ac:dyDescent="0.25">
      <c r="A99">
        <v>10107097</v>
      </c>
      <c r="B99" t="s">
        <v>206</v>
      </c>
      <c r="C99" t="s">
        <v>207</v>
      </c>
    </row>
    <row r="100" spans="1:3" x14ac:dyDescent="0.25">
      <c r="A100">
        <v>10107098</v>
      </c>
      <c r="B100" t="s">
        <v>208</v>
      </c>
      <c r="C100" t="s">
        <v>209</v>
      </c>
    </row>
    <row r="101" spans="1:3" x14ac:dyDescent="0.25">
      <c r="A101">
        <v>10107099</v>
      </c>
      <c r="B101" t="s">
        <v>210</v>
      </c>
      <c r="C101" t="s">
        <v>211</v>
      </c>
    </row>
    <row r="102" spans="1:3" x14ac:dyDescent="0.25">
      <c r="A102">
        <v>10107100</v>
      </c>
      <c r="B102" t="s">
        <v>212</v>
      </c>
      <c r="C102" t="s">
        <v>213</v>
      </c>
    </row>
    <row r="103" spans="1:3" x14ac:dyDescent="0.25">
      <c r="A103">
        <v>10107101</v>
      </c>
      <c r="B103" t="s">
        <v>214</v>
      </c>
      <c r="C103" t="s">
        <v>215</v>
      </c>
    </row>
    <row r="104" spans="1:3" x14ac:dyDescent="0.25">
      <c r="A104">
        <v>10107102</v>
      </c>
      <c r="B104" t="s">
        <v>216</v>
      </c>
      <c r="C104" t="s">
        <v>217</v>
      </c>
    </row>
    <row r="105" spans="1:3" x14ac:dyDescent="0.25">
      <c r="A105">
        <v>10107103</v>
      </c>
      <c r="B105" t="s">
        <v>218</v>
      </c>
      <c r="C105" t="s">
        <v>219</v>
      </c>
    </row>
    <row r="106" spans="1:3" x14ac:dyDescent="0.25">
      <c r="A106">
        <v>10107104</v>
      </c>
      <c r="B106" t="s">
        <v>220</v>
      </c>
      <c r="C106" t="s">
        <v>221</v>
      </c>
    </row>
    <row r="107" spans="1:3" x14ac:dyDescent="0.25">
      <c r="A107">
        <v>10107105</v>
      </c>
      <c r="B107" t="s">
        <v>222</v>
      </c>
      <c r="C107" t="s">
        <v>223</v>
      </c>
    </row>
    <row r="108" spans="1:3" x14ac:dyDescent="0.25">
      <c r="A108">
        <v>10107106</v>
      </c>
      <c r="B108" t="s">
        <v>224</v>
      </c>
      <c r="C108" t="s">
        <v>225</v>
      </c>
    </row>
    <row r="109" spans="1:3" x14ac:dyDescent="0.25">
      <c r="A109">
        <v>10107107</v>
      </c>
      <c r="B109" t="s">
        <v>226</v>
      </c>
      <c r="C109" t="s">
        <v>227</v>
      </c>
    </row>
    <row r="110" spans="1:3" x14ac:dyDescent="0.25">
      <c r="A110">
        <v>10107108</v>
      </c>
      <c r="B110" t="s">
        <v>228</v>
      </c>
      <c r="C110" t="s">
        <v>229</v>
      </c>
    </row>
    <row r="111" spans="1:3" x14ac:dyDescent="0.25">
      <c r="A111">
        <v>10107109</v>
      </c>
      <c r="B111" t="s">
        <v>230</v>
      </c>
      <c r="C111" t="s">
        <v>231</v>
      </c>
    </row>
    <row r="112" spans="1:3" x14ac:dyDescent="0.25">
      <c r="A112">
        <v>10107110</v>
      </c>
      <c r="B112" t="s">
        <v>232</v>
      </c>
      <c r="C112" t="s">
        <v>233</v>
      </c>
    </row>
    <row r="113" spans="1:3" x14ac:dyDescent="0.25">
      <c r="A113">
        <v>10107111</v>
      </c>
      <c r="B113" t="s">
        <v>234</v>
      </c>
      <c r="C113" t="s">
        <v>235</v>
      </c>
    </row>
    <row r="114" spans="1:3" x14ac:dyDescent="0.25">
      <c r="A114">
        <v>10107112</v>
      </c>
      <c r="B114" t="s">
        <v>236</v>
      </c>
      <c r="C114" t="s">
        <v>237</v>
      </c>
    </row>
    <row r="115" spans="1:3" x14ac:dyDescent="0.25">
      <c r="A115">
        <v>10107113</v>
      </c>
      <c r="B115" t="s">
        <v>238</v>
      </c>
      <c r="C115" t="s">
        <v>239</v>
      </c>
    </row>
    <row r="116" spans="1:3" x14ac:dyDescent="0.25">
      <c r="A116">
        <v>10107114</v>
      </c>
      <c r="B116" t="s">
        <v>240</v>
      </c>
      <c r="C116" t="s">
        <v>241</v>
      </c>
    </row>
    <row r="117" spans="1:3" x14ac:dyDescent="0.25">
      <c r="A117">
        <v>10107115</v>
      </c>
      <c r="B117" t="s">
        <v>242</v>
      </c>
      <c r="C117" t="s">
        <v>243</v>
      </c>
    </row>
    <row r="118" spans="1:3" x14ac:dyDescent="0.25">
      <c r="A118">
        <v>10107116</v>
      </c>
      <c r="B118" t="s">
        <v>244</v>
      </c>
      <c r="C118" t="s">
        <v>245</v>
      </c>
    </row>
    <row r="119" spans="1:3" x14ac:dyDescent="0.25">
      <c r="A119">
        <v>10107117</v>
      </c>
      <c r="B119" t="s">
        <v>246</v>
      </c>
      <c r="C119" t="s">
        <v>247</v>
      </c>
    </row>
    <row r="120" spans="1:3" x14ac:dyDescent="0.25">
      <c r="A120">
        <v>10107118</v>
      </c>
      <c r="B120" t="s">
        <v>248</v>
      </c>
      <c r="C120" t="s">
        <v>249</v>
      </c>
    </row>
    <row r="121" spans="1:3" x14ac:dyDescent="0.25">
      <c r="A121">
        <v>10107119</v>
      </c>
      <c r="B121" t="s">
        <v>250</v>
      </c>
      <c r="C121" t="s">
        <v>251</v>
      </c>
    </row>
    <row r="122" spans="1:3" x14ac:dyDescent="0.25">
      <c r="A122">
        <v>10107120</v>
      </c>
      <c r="B122" t="s">
        <v>252</v>
      </c>
      <c r="C122" t="s">
        <v>253</v>
      </c>
    </row>
    <row r="123" spans="1:3" x14ac:dyDescent="0.25">
      <c r="A123">
        <v>10107121</v>
      </c>
      <c r="B123" t="s">
        <v>254</v>
      </c>
      <c r="C123" t="s">
        <v>255</v>
      </c>
    </row>
    <row r="124" spans="1:3" x14ac:dyDescent="0.25">
      <c r="A124">
        <v>10107122</v>
      </c>
      <c r="B124" t="s">
        <v>256</v>
      </c>
      <c r="C124" t="s">
        <v>257</v>
      </c>
    </row>
    <row r="125" spans="1:3" x14ac:dyDescent="0.25">
      <c r="A125">
        <v>10107123</v>
      </c>
      <c r="B125" t="s">
        <v>258</v>
      </c>
      <c r="C125" t="s">
        <v>259</v>
      </c>
    </row>
    <row r="126" spans="1:3" x14ac:dyDescent="0.25">
      <c r="A126">
        <v>10107124</v>
      </c>
      <c r="B126" t="s">
        <v>260</v>
      </c>
      <c r="C126" t="s">
        <v>261</v>
      </c>
    </row>
    <row r="127" spans="1:3" x14ac:dyDescent="0.25">
      <c r="A127">
        <v>10107125</v>
      </c>
      <c r="B127" t="s">
        <v>262</v>
      </c>
      <c r="C127" t="s">
        <v>263</v>
      </c>
    </row>
    <row r="128" spans="1:3" x14ac:dyDescent="0.25">
      <c r="A128">
        <v>10107126</v>
      </c>
      <c r="B128" t="s">
        <v>264</v>
      </c>
      <c r="C128" t="s">
        <v>265</v>
      </c>
    </row>
    <row r="129" spans="1:3" x14ac:dyDescent="0.25">
      <c r="A129">
        <v>10107127</v>
      </c>
      <c r="B129" t="s">
        <v>266</v>
      </c>
      <c r="C129" t="s">
        <v>267</v>
      </c>
    </row>
    <row r="130" spans="1:3" x14ac:dyDescent="0.25">
      <c r="A130">
        <v>10107128</v>
      </c>
      <c r="B130" t="s">
        <v>268</v>
      </c>
      <c r="C130" t="s">
        <v>269</v>
      </c>
    </row>
    <row r="131" spans="1:3" x14ac:dyDescent="0.25">
      <c r="A131">
        <v>10107129</v>
      </c>
      <c r="B131" t="s">
        <v>270</v>
      </c>
      <c r="C131" t="s">
        <v>271</v>
      </c>
    </row>
    <row r="132" spans="1:3" x14ac:dyDescent="0.25">
      <c r="A132">
        <v>10107130</v>
      </c>
      <c r="B132" t="s">
        <v>272</v>
      </c>
      <c r="C132" t="s">
        <v>273</v>
      </c>
    </row>
    <row r="133" spans="1:3" x14ac:dyDescent="0.25">
      <c r="A133">
        <v>10107131</v>
      </c>
      <c r="B133" t="s">
        <v>274</v>
      </c>
      <c r="C133" t="s">
        <v>275</v>
      </c>
    </row>
    <row r="134" spans="1:3" x14ac:dyDescent="0.25">
      <c r="A134">
        <v>10107132</v>
      </c>
      <c r="B134" t="s">
        <v>276</v>
      </c>
      <c r="C134" t="s">
        <v>277</v>
      </c>
    </row>
    <row r="135" spans="1:3" x14ac:dyDescent="0.25">
      <c r="A135">
        <v>10107133</v>
      </c>
      <c r="B135" t="s">
        <v>278</v>
      </c>
      <c r="C135" t="s">
        <v>279</v>
      </c>
    </row>
    <row r="136" spans="1:3" x14ac:dyDescent="0.25">
      <c r="A136">
        <v>10107134</v>
      </c>
      <c r="B136" t="s">
        <v>280</v>
      </c>
      <c r="C136" t="s">
        <v>281</v>
      </c>
    </row>
    <row r="137" spans="1:3" x14ac:dyDescent="0.25">
      <c r="A137">
        <v>10107135</v>
      </c>
      <c r="B137" t="s">
        <v>282</v>
      </c>
      <c r="C137" t="s">
        <v>283</v>
      </c>
    </row>
    <row r="138" spans="1:3" x14ac:dyDescent="0.25">
      <c r="A138">
        <v>10107136</v>
      </c>
      <c r="B138" t="s">
        <v>284</v>
      </c>
      <c r="C138" t="s">
        <v>285</v>
      </c>
    </row>
    <row r="139" spans="1:3" x14ac:dyDescent="0.25">
      <c r="A139">
        <v>10107137</v>
      </c>
      <c r="B139" t="s">
        <v>286</v>
      </c>
      <c r="C139" t="s">
        <v>287</v>
      </c>
    </row>
    <row r="140" spans="1:3" x14ac:dyDescent="0.25">
      <c r="A140">
        <v>10107138</v>
      </c>
      <c r="B140" t="s">
        <v>288</v>
      </c>
      <c r="C140" t="s">
        <v>289</v>
      </c>
    </row>
    <row r="141" spans="1:3" x14ac:dyDescent="0.25">
      <c r="A141">
        <v>10107139</v>
      </c>
      <c r="B141" t="s">
        <v>290</v>
      </c>
      <c r="C141" t="s">
        <v>291</v>
      </c>
    </row>
    <row r="142" spans="1:3" x14ac:dyDescent="0.25">
      <c r="A142">
        <v>10107140</v>
      </c>
      <c r="B142" t="s">
        <v>292</v>
      </c>
      <c r="C142" t="s">
        <v>293</v>
      </c>
    </row>
    <row r="143" spans="1:3" x14ac:dyDescent="0.25">
      <c r="A143">
        <v>10107141</v>
      </c>
      <c r="B143" t="s">
        <v>294</v>
      </c>
      <c r="C143" t="s">
        <v>295</v>
      </c>
    </row>
    <row r="144" spans="1:3" x14ac:dyDescent="0.25">
      <c r="A144">
        <v>10107142</v>
      </c>
      <c r="B144" t="s">
        <v>296</v>
      </c>
      <c r="C144" t="s">
        <v>297</v>
      </c>
    </row>
    <row r="145" spans="1:3" x14ac:dyDescent="0.25">
      <c r="A145">
        <v>10107143</v>
      </c>
      <c r="B145" t="s">
        <v>298</v>
      </c>
      <c r="C145" t="s">
        <v>299</v>
      </c>
    </row>
    <row r="146" spans="1:3" x14ac:dyDescent="0.25">
      <c r="A146">
        <v>10107144</v>
      </c>
      <c r="B146" t="s">
        <v>300</v>
      </c>
      <c r="C146" t="s">
        <v>301</v>
      </c>
    </row>
    <row r="147" spans="1:3" x14ac:dyDescent="0.25">
      <c r="A147">
        <v>10107145</v>
      </c>
      <c r="B147" t="s">
        <v>302</v>
      </c>
      <c r="C147" t="s">
        <v>303</v>
      </c>
    </row>
    <row r="148" spans="1:3" x14ac:dyDescent="0.25">
      <c r="A148">
        <v>10107146</v>
      </c>
      <c r="B148" t="s">
        <v>304</v>
      </c>
      <c r="C148" t="s">
        <v>305</v>
      </c>
    </row>
    <row r="149" spans="1:3" x14ac:dyDescent="0.25">
      <c r="A149">
        <v>10107147</v>
      </c>
      <c r="B149" t="s">
        <v>306</v>
      </c>
      <c r="C149" t="s">
        <v>307</v>
      </c>
    </row>
    <row r="150" spans="1:3" x14ac:dyDescent="0.25">
      <c r="A150">
        <v>10107148</v>
      </c>
      <c r="B150" t="s">
        <v>308</v>
      </c>
      <c r="C150" t="s">
        <v>309</v>
      </c>
    </row>
    <row r="151" spans="1:3" x14ac:dyDescent="0.25">
      <c r="A151">
        <v>10107149</v>
      </c>
      <c r="B151" t="s">
        <v>310</v>
      </c>
      <c r="C151" t="s">
        <v>311</v>
      </c>
    </row>
    <row r="152" spans="1:3" x14ac:dyDescent="0.25">
      <c r="A152">
        <v>10107150</v>
      </c>
      <c r="B152" t="s">
        <v>312</v>
      </c>
      <c r="C152" t="s">
        <v>313</v>
      </c>
    </row>
    <row r="153" spans="1:3" x14ac:dyDescent="0.25">
      <c r="A153">
        <v>10107151</v>
      </c>
      <c r="B153" t="s">
        <v>314</v>
      </c>
      <c r="C153" t="s">
        <v>315</v>
      </c>
    </row>
    <row r="154" spans="1:3" x14ac:dyDescent="0.25">
      <c r="A154">
        <v>10107152</v>
      </c>
      <c r="B154" t="s">
        <v>316</v>
      </c>
      <c r="C154" t="s">
        <v>317</v>
      </c>
    </row>
    <row r="155" spans="1:3" x14ac:dyDescent="0.25">
      <c r="A155">
        <v>10107153</v>
      </c>
      <c r="B155" t="s">
        <v>318</v>
      </c>
      <c r="C155" t="s">
        <v>319</v>
      </c>
    </row>
    <row r="156" spans="1:3" x14ac:dyDescent="0.25">
      <c r="A156">
        <v>10107154</v>
      </c>
      <c r="B156" t="s">
        <v>320</v>
      </c>
      <c r="C156" t="s">
        <v>321</v>
      </c>
    </row>
    <row r="157" spans="1:3" x14ac:dyDescent="0.25">
      <c r="A157">
        <v>10107155</v>
      </c>
      <c r="B157" t="s">
        <v>322</v>
      </c>
      <c r="C157" t="s">
        <v>323</v>
      </c>
    </row>
    <row r="158" spans="1:3" x14ac:dyDescent="0.25">
      <c r="A158">
        <v>10107156</v>
      </c>
      <c r="B158" t="s">
        <v>324</v>
      </c>
      <c r="C158" t="s">
        <v>325</v>
      </c>
    </row>
    <row r="159" spans="1:3" x14ac:dyDescent="0.25">
      <c r="A159">
        <v>10107157</v>
      </c>
      <c r="B159" t="s">
        <v>326</v>
      </c>
      <c r="C159" t="s">
        <v>327</v>
      </c>
    </row>
    <row r="160" spans="1:3" x14ac:dyDescent="0.25">
      <c r="A160">
        <v>10107158</v>
      </c>
      <c r="B160" t="s">
        <v>328</v>
      </c>
      <c r="C160" t="s">
        <v>329</v>
      </c>
    </row>
    <row r="161" spans="1:3" x14ac:dyDescent="0.25">
      <c r="A161">
        <v>10107159</v>
      </c>
      <c r="B161" t="s">
        <v>330</v>
      </c>
      <c r="C161" t="s">
        <v>331</v>
      </c>
    </row>
    <row r="162" spans="1:3" x14ac:dyDescent="0.25">
      <c r="A162">
        <v>10107160</v>
      </c>
      <c r="B162" t="s">
        <v>332</v>
      </c>
      <c r="C162" t="s">
        <v>333</v>
      </c>
    </row>
    <row r="163" spans="1:3" x14ac:dyDescent="0.25">
      <c r="A163">
        <v>10107161</v>
      </c>
      <c r="B163" t="s">
        <v>334</v>
      </c>
      <c r="C163" t="s">
        <v>335</v>
      </c>
    </row>
    <row r="164" spans="1:3" x14ac:dyDescent="0.25">
      <c r="A164">
        <v>10107162</v>
      </c>
      <c r="B164" t="s">
        <v>336</v>
      </c>
      <c r="C164" t="s">
        <v>337</v>
      </c>
    </row>
    <row r="165" spans="1:3" x14ac:dyDescent="0.25">
      <c r="A165">
        <v>10107163</v>
      </c>
      <c r="B165" t="s">
        <v>338</v>
      </c>
      <c r="C165" t="s">
        <v>339</v>
      </c>
    </row>
    <row r="166" spans="1:3" x14ac:dyDescent="0.25">
      <c r="A166">
        <v>10107164</v>
      </c>
      <c r="B166" t="s">
        <v>340</v>
      </c>
      <c r="C166" t="s">
        <v>341</v>
      </c>
    </row>
    <row r="167" spans="1:3" x14ac:dyDescent="0.25">
      <c r="A167">
        <v>10107165</v>
      </c>
      <c r="B167" t="s">
        <v>342</v>
      </c>
      <c r="C167" t="s">
        <v>343</v>
      </c>
    </row>
    <row r="168" spans="1:3" x14ac:dyDescent="0.25">
      <c r="A168">
        <v>10107166</v>
      </c>
      <c r="B168" t="s">
        <v>344</v>
      </c>
      <c r="C168" t="s">
        <v>345</v>
      </c>
    </row>
    <row r="169" spans="1:3" x14ac:dyDescent="0.25">
      <c r="A169">
        <v>10107167</v>
      </c>
      <c r="B169" t="s">
        <v>346</v>
      </c>
      <c r="C169" t="s">
        <v>347</v>
      </c>
    </row>
    <row r="170" spans="1:3" x14ac:dyDescent="0.25">
      <c r="A170">
        <v>10107168</v>
      </c>
      <c r="B170" t="s">
        <v>348</v>
      </c>
      <c r="C170" t="s">
        <v>349</v>
      </c>
    </row>
    <row r="171" spans="1:3" x14ac:dyDescent="0.25">
      <c r="A171">
        <v>10107169</v>
      </c>
      <c r="B171" t="s">
        <v>350</v>
      </c>
      <c r="C171" t="s">
        <v>351</v>
      </c>
    </row>
    <row r="172" spans="1:3" x14ac:dyDescent="0.25">
      <c r="A172">
        <v>10107170</v>
      </c>
      <c r="B172" t="s">
        <v>352</v>
      </c>
      <c r="C172" t="s">
        <v>353</v>
      </c>
    </row>
    <row r="173" spans="1:3" x14ac:dyDescent="0.25">
      <c r="A173">
        <v>10107171</v>
      </c>
      <c r="B173" t="s">
        <v>354</v>
      </c>
      <c r="C173" t="s">
        <v>355</v>
      </c>
    </row>
    <row r="174" spans="1:3" x14ac:dyDescent="0.25">
      <c r="A174">
        <v>10107172</v>
      </c>
      <c r="B174" t="s">
        <v>356</v>
      </c>
      <c r="C174" t="s">
        <v>357</v>
      </c>
    </row>
    <row r="175" spans="1:3" x14ac:dyDescent="0.25">
      <c r="A175">
        <v>10107173</v>
      </c>
      <c r="B175" t="s">
        <v>358</v>
      </c>
      <c r="C175" t="s">
        <v>359</v>
      </c>
    </row>
    <row r="176" spans="1:3" x14ac:dyDescent="0.25">
      <c r="A176">
        <v>10107174</v>
      </c>
      <c r="B176" t="s">
        <v>360</v>
      </c>
      <c r="C176" t="s">
        <v>361</v>
      </c>
    </row>
    <row r="177" spans="1:3" x14ac:dyDescent="0.25">
      <c r="A177">
        <v>10107175</v>
      </c>
      <c r="B177" t="s">
        <v>362</v>
      </c>
      <c r="C177" t="s">
        <v>363</v>
      </c>
    </row>
    <row r="178" spans="1:3" x14ac:dyDescent="0.25">
      <c r="A178">
        <v>10107176</v>
      </c>
      <c r="B178" t="s">
        <v>364</v>
      </c>
      <c r="C178" t="s">
        <v>365</v>
      </c>
    </row>
    <row r="179" spans="1:3" x14ac:dyDescent="0.25">
      <c r="A179">
        <v>10107177</v>
      </c>
      <c r="B179" t="s">
        <v>366</v>
      </c>
      <c r="C179" t="s">
        <v>367</v>
      </c>
    </row>
    <row r="180" spans="1:3" x14ac:dyDescent="0.25">
      <c r="A180">
        <v>10107178</v>
      </c>
      <c r="B180" t="s">
        <v>368</v>
      </c>
      <c r="C180" t="s">
        <v>369</v>
      </c>
    </row>
    <row r="181" spans="1:3" x14ac:dyDescent="0.25">
      <c r="A181">
        <v>10107179</v>
      </c>
      <c r="B181" t="s">
        <v>370</v>
      </c>
      <c r="C181" t="s">
        <v>371</v>
      </c>
    </row>
    <row r="182" spans="1:3" x14ac:dyDescent="0.25">
      <c r="A182">
        <v>10107180</v>
      </c>
      <c r="B182" t="s">
        <v>372</v>
      </c>
      <c r="C182" t="s">
        <v>373</v>
      </c>
    </row>
    <row r="183" spans="1:3" x14ac:dyDescent="0.25">
      <c r="A183">
        <v>10107181</v>
      </c>
      <c r="B183" t="s">
        <v>374</v>
      </c>
      <c r="C183" t="s">
        <v>375</v>
      </c>
    </row>
    <row r="184" spans="1:3" x14ac:dyDescent="0.25">
      <c r="A184">
        <v>10107182</v>
      </c>
      <c r="B184" t="s">
        <v>376</v>
      </c>
      <c r="C184" t="s">
        <v>377</v>
      </c>
    </row>
    <row r="185" spans="1:3" x14ac:dyDescent="0.25">
      <c r="A185">
        <v>10107183</v>
      </c>
      <c r="B185" t="s">
        <v>378</v>
      </c>
      <c r="C185" t="s">
        <v>379</v>
      </c>
    </row>
    <row r="186" spans="1:3" x14ac:dyDescent="0.25">
      <c r="A186">
        <v>10107184</v>
      </c>
      <c r="B186" t="s">
        <v>380</v>
      </c>
      <c r="C186" t="s">
        <v>381</v>
      </c>
    </row>
    <row r="187" spans="1:3" x14ac:dyDescent="0.25">
      <c r="A187">
        <v>10107185</v>
      </c>
      <c r="B187" t="s">
        <v>382</v>
      </c>
      <c r="C187" t="s">
        <v>383</v>
      </c>
    </row>
    <row r="188" spans="1:3" x14ac:dyDescent="0.25">
      <c r="A188">
        <v>10107186</v>
      </c>
      <c r="B188" t="s">
        <v>384</v>
      </c>
      <c r="C188" t="s">
        <v>385</v>
      </c>
    </row>
    <row r="189" spans="1:3" x14ac:dyDescent="0.25">
      <c r="A189">
        <v>10107187</v>
      </c>
      <c r="B189" t="s">
        <v>386</v>
      </c>
      <c r="C189" t="s">
        <v>387</v>
      </c>
    </row>
    <row r="190" spans="1:3" x14ac:dyDescent="0.25">
      <c r="A190">
        <v>10107188</v>
      </c>
      <c r="B190" t="s">
        <v>388</v>
      </c>
      <c r="C190" t="s">
        <v>389</v>
      </c>
    </row>
    <row r="191" spans="1:3" x14ac:dyDescent="0.25">
      <c r="A191">
        <v>10107189</v>
      </c>
      <c r="B191" t="s">
        <v>390</v>
      </c>
      <c r="C191" t="s">
        <v>391</v>
      </c>
    </row>
    <row r="192" spans="1:3" x14ac:dyDescent="0.25">
      <c r="A192">
        <v>10107190</v>
      </c>
      <c r="B192" t="s">
        <v>392</v>
      </c>
      <c r="C192" t="s">
        <v>393</v>
      </c>
    </row>
    <row r="193" spans="1:3" x14ac:dyDescent="0.25">
      <c r="A193">
        <v>10107191</v>
      </c>
      <c r="B193" t="s">
        <v>394</v>
      </c>
      <c r="C193" t="s">
        <v>395</v>
      </c>
    </row>
    <row r="194" spans="1:3" x14ac:dyDescent="0.25">
      <c r="A194">
        <v>10107192</v>
      </c>
      <c r="B194" t="s">
        <v>396</v>
      </c>
      <c r="C194" t="s">
        <v>397</v>
      </c>
    </row>
    <row r="195" spans="1:3" x14ac:dyDescent="0.25">
      <c r="A195">
        <v>10107193</v>
      </c>
      <c r="B195" t="s">
        <v>398</v>
      </c>
      <c r="C195" t="s">
        <v>399</v>
      </c>
    </row>
    <row r="196" spans="1:3" x14ac:dyDescent="0.25">
      <c r="A196">
        <v>10107194</v>
      </c>
      <c r="B196" t="s">
        <v>400</v>
      </c>
      <c r="C196" t="s">
        <v>401</v>
      </c>
    </row>
    <row r="197" spans="1:3" x14ac:dyDescent="0.25">
      <c r="A197">
        <v>10107195</v>
      </c>
      <c r="B197" t="s">
        <v>402</v>
      </c>
      <c r="C197" t="s">
        <v>403</v>
      </c>
    </row>
    <row r="198" spans="1:3" x14ac:dyDescent="0.25">
      <c r="A198">
        <v>10107196</v>
      </c>
      <c r="B198" t="s">
        <v>404</v>
      </c>
      <c r="C198" t="s">
        <v>405</v>
      </c>
    </row>
    <row r="199" spans="1:3" x14ac:dyDescent="0.25">
      <c r="A199">
        <v>10107197</v>
      </c>
      <c r="B199" t="s">
        <v>406</v>
      </c>
      <c r="C199" t="s">
        <v>407</v>
      </c>
    </row>
    <row r="200" spans="1:3" x14ac:dyDescent="0.25">
      <c r="A200">
        <v>10107198</v>
      </c>
      <c r="B200" t="s">
        <v>408</v>
      </c>
      <c r="C200" t="s">
        <v>409</v>
      </c>
    </row>
    <row r="201" spans="1:3" x14ac:dyDescent="0.25">
      <c r="A201">
        <v>10107199</v>
      </c>
      <c r="B201" t="s">
        <v>410</v>
      </c>
      <c r="C201" t="s">
        <v>411</v>
      </c>
    </row>
    <row r="202" spans="1:3" x14ac:dyDescent="0.25">
      <c r="A202">
        <v>10107200</v>
      </c>
      <c r="B202" t="s">
        <v>412</v>
      </c>
      <c r="C202" t="s">
        <v>413</v>
      </c>
    </row>
    <row r="203" spans="1:3" x14ac:dyDescent="0.25">
      <c r="A203">
        <v>10107201</v>
      </c>
      <c r="B203" t="s">
        <v>414</v>
      </c>
      <c r="C203" t="s">
        <v>415</v>
      </c>
    </row>
    <row r="204" spans="1:3" x14ac:dyDescent="0.25">
      <c r="A204">
        <v>10107202</v>
      </c>
      <c r="B204" t="s">
        <v>416</v>
      </c>
      <c r="C204" t="s">
        <v>417</v>
      </c>
    </row>
    <row r="205" spans="1:3" x14ac:dyDescent="0.25">
      <c r="A205">
        <v>10107203</v>
      </c>
      <c r="B205" t="s">
        <v>418</v>
      </c>
      <c r="C205" t="s">
        <v>419</v>
      </c>
    </row>
    <row r="206" spans="1:3" x14ac:dyDescent="0.25">
      <c r="A206">
        <v>10107204</v>
      </c>
      <c r="B206" t="s">
        <v>420</v>
      </c>
      <c r="C206" t="s">
        <v>421</v>
      </c>
    </row>
    <row r="207" spans="1:3" x14ac:dyDescent="0.25">
      <c r="A207">
        <v>10107205</v>
      </c>
      <c r="B207" t="s">
        <v>422</v>
      </c>
      <c r="C207" t="s">
        <v>423</v>
      </c>
    </row>
    <row r="208" spans="1:3" x14ac:dyDescent="0.25">
      <c r="A208">
        <v>10107206</v>
      </c>
      <c r="B208" t="s">
        <v>424</v>
      </c>
      <c r="C208" t="s">
        <v>425</v>
      </c>
    </row>
    <row r="209" spans="1:3" x14ac:dyDescent="0.25">
      <c r="A209">
        <v>10107207</v>
      </c>
      <c r="B209" t="s">
        <v>426</v>
      </c>
      <c r="C209" t="s">
        <v>427</v>
      </c>
    </row>
    <row r="210" spans="1:3" x14ac:dyDescent="0.25">
      <c r="A210">
        <v>10107208</v>
      </c>
      <c r="B210" t="s">
        <v>428</v>
      </c>
      <c r="C210" t="s">
        <v>429</v>
      </c>
    </row>
    <row r="211" spans="1:3" x14ac:dyDescent="0.25">
      <c r="A211">
        <v>10107209</v>
      </c>
      <c r="B211" t="s">
        <v>430</v>
      </c>
      <c r="C211" t="s">
        <v>431</v>
      </c>
    </row>
    <row r="212" spans="1:3" x14ac:dyDescent="0.25">
      <c r="A212">
        <v>10107210</v>
      </c>
      <c r="B212" t="s">
        <v>432</v>
      </c>
      <c r="C212" t="s">
        <v>433</v>
      </c>
    </row>
    <row r="213" spans="1:3" x14ac:dyDescent="0.25">
      <c r="A213">
        <v>10107211</v>
      </c>
      <c r="B213" t="s">
        <v>434</v>
      </c>
      <c r="C213" t="s">
        <v>435</v>
      </c>
    </row>
    <row r="214" spans="1:3" x14ac:dyDescent="0.25">
      <c r="A214">
        <v>10107212</v>
      </c>
      <c r="B214" t="s">
        <v>436</v>
      </c>
      <c r="C214" t="s">
        <v>437</v>
      </c>
    </row>
    <row r="215" spans="1:3" x14ac:dyDescent="0.25">
      <c r="A215">
        <v>10107213</v>
      </c>
      <c r="B215" t="s">
        <v>438</v>
      </c>
      <c r="C215" t="s">
        <v>439</v>
      </c>
    </row>
    <row r="216" spans="1:3" x14ac:dyDescent="0.25">
      <c r="C216" t="s">
        <v>1081</v>
      </c>
    </row>
    <row r="217" spans="1:3" x14ac:dyDescent="0.25">
      <c r="A217">
        <v>10107214</v>
      </c>
      <c r="B217" t="s">
        <v>440</v>
      </c>
      <c r="C217" t="s">
        <v>441</v>
      </c>
    </row>
    <row r="218" spans="1:3" x14ac:dyDescent="0.25">
      <c r="A218">
        <v>10107215</v>
      </c>
      <c r="B218" t="s">
        <v>442</v>
      </c>
      <c r="C218" t="s">
        <v>443</v>
      </c>
    </row>
    <row r="219" spans="1:3" x14ac:dyDescent="0.25">
      <c r="A219">
        <v>10107216</v>
      </c>
      <c r="B219" t="s">
        <v>444</v>
      </c>
      <c r="C219" t="s">
        <v>445</v>
      </c>
    </row>
    <row r="220" spans="1:3" x14ac:dyDescent="0.25">
      <c r="A220">
        <v>10107217</v>
      </c>
      <c r="B220" t="s">
        <v>446</v>
      </c>
      <c r="C220" t="s">
        <v>447</v>
      </c>
    </row>
    <row r="221" spans="1:3" x14ac:dyDescent="0.25">
      <c r="A221">
        <v>10107218</v>
      </c>
      <c r="B221" t="s">
        <v>448</v>
      </c>
      <c r="C221" t="s">
        <v>449</v>
      </c>
    </row>
    <row r="222" spans="1:3" x14ac:dyDescent="0.25">
      <c r="A222">
        <v>10107219</v>
      </c>
      <c r="B222" t="s">
        <v>450</v>
      </c>
      <c r="C222" t="s">
        <v>451</v>
      </c>
    </row>
    <row r="223" spans="1:3" x14ac:dyDescent="0.25">
      <c r="A223">
        <v>10107220</v>
      </c>
      <c r="B223" t="s">
        <v>452</v>
      </c>
      <c r="C223" t="s">
        <v>453</v>
      </c>
    </row>
    <row r="224" spans="1:3" x14ac:dyDescent="0.25">
      <c r="A224">
        <v>10107221</v>
      </c>
      <c r="B224" t="s">
        <v>454</v>
      </c>
      <c r="C224" t="s">
        <v>455</v>
      </c>
    </row>
    <row r="225" spans="1:3" x14ac:dyDescent="0.25">
      <c r="A225">
        <v>10107222</v>
      </c>
      <c r="B225" t="s">
        <v>456</v>
      </c>
      <c r="C225" t="s">
        <v>457</v>
      </c>
    </row>
    <row r="226" spans="1:3" x14ac:dyDescent="0.25">
      <c r="A226">
        <v>10107223</v>
      </c>
      <c r="B226" t="s">
        <v>458</v>
      </c>
      <c r="C226" t="s">
        <v>459</v>
      </c>
    </row>
    <row r="227" spans="1:3" x14ac:dyDescent="0.25">
      <c r="A227">
        <v>10107224</v>
      </c>
      <c r="B227" t="s">
        <v>460</v>
      </c>
      <c r="C227" t="s">
        <v>461</v>
      </c>
    </row>
    <row r="228" spans="1:3" x14ac:dyDescent="0.25">
      <c r="A228">
        <v>10107225</v>
      </c>
      <c r="B228" t="s">
        <v>462</v>
      </c>
      <c r="C228" t="s">
        <v>463</v>
      </c>
    </row>
    <row r="229" spans="1:3" x14ac:dyDescent="0.25">
      <c r="A229">
        <v>10107226</v>
      </c>
      <c r="B229" t="s">
        <v>464</v>
      </c>
      <c r="C229" t="s">
        <v>465</v>
      </c>
    </row>
    <row r="230" spans="1:3" x14ac:dyDescent="0.25">
      <c r="A230">
        <v>10107227</v>
      </c>
      <c r="B230" t="s">
        <v>466</v>
      </c>
      <c r="C230" t="s">
        <v>467</v>
      </c>
    </row>
    <row r="231" spans="1:3" x14ac:dyDescent="0.25">
      <c r="A231">
        <v>10107228</v>
      </c>
      <c r="B231" t="s">
        <v>468</v>
      </c>
      <c r="C231" t="s">
        <v>469</v>
      </c>
    </row>
    <row r="232" spans="1:3" x14ac:dyDescent="0.25">
      <c r="A232">
        <v>10107229</v>
      </c>
      <c r="B232" t="s">
        <v>470</v>
      </c>
      <c r="C232" t="s">
        <v>471</v>
      </c>
    </row>
    <row r="233" spans="1:3" x14ac:dyDescent="0.25">
      <c r="A233">
        <v>10107230</v>
      </c>
      <c r="B233" t="s">
        <v>472</v>
      </c>
      <c r="C233" t="s">
        <v>473</v>
      </c>
    </row>
    <row r="234" spans="1:3" x14ac:dyDescent="0.25">
      <c r="A234">
        <v>10107231</v>
      </c>
      <c r="B234" t="s">
        <v>474</v>
      </c>
      <c r="C234" t="s">
        <v>475</v>
      </c>
    </row>
    <row r="235" spans="1:3" x14ac:dyDescent="0.25">
      <c r="A235">
        <v>10107232</v>
      </c>
      <c r="B235" t="s">
        <v>476</v>
      </c>
      <c r="C235" t="s">
        <v>477</v>
      </c>
    </row>
    <row r="236" spans="1:3" x14ac:dyDescent="0.25">
      <c r="A236">
        <v>10107233</v>
      </c>
      <c r="B236" t="s">
        <v>478</v>
      </c>
      <c r="C236" t="s">
        <v>479</v>
      </c>
    </row>
    <row r="237" spans="1:3" x14ac:dyDescent="0.25">
      <c r="A237">
        <v>10107234</v>
      </c>
      <c r="B237" t="s">
        <v>480</v>
      </c>
      <c r="C237" t="s">
        <v>481</v>
      </c>
    </row>
    <row r="238" spans="1:3" x14ac:dyDescent="0.25">
      <c r="A238">
        <v>10107235</v>
      </c>
      <c r="B238" t="s">
        <v>482</v>
      </c>
      <c r="C238" t="s">
        <v>483</v>
      </c>
    </row>
    <row r="239" spans="1:3" x14ac:dyDescent="0.25">
      <c r="A239">
        <v>10107236</v>
      </c>
      <c r="B239" t="s">
        <v>484</v>
      </c>
      <c r="C239" t="s">
        <v>485</v>
      </c>
    </row>
    <row r="240" spans="1:3" x14ac:dyDescent="0.25">
      <c r="A240">
        <v>10107237</v>
      </c>
      <c r="B240" t="s">
        <v>486</v>
      </c>
      <c r="C240" t="s">
        <v>487</v>
      </c>
    </row>
    <row r="241" spans="1:3" x14ac:dyDescent="0.25">
      <c r="A241">
        <v>10107238</v>
      </c>
      <c r="B241" t="s">
        <v>488</v>
      </c>
      <c r="C241" t="s">
        <v>489</v>
      </c>
    </row>
    <row r="242" spans="1:3" x14ac:dyDescent="0.25">
      <c r="A242">
        <v>10107239</v>
      </c>
      <c r="B242" t="s">
        <v>490</v>
      </c>
      <c r="C242" t="s">
        <v>491</v>
      </c>
    </row>
    <row r="243" spans="1:3" x14ac:dyDescent="0.25">
      <c r="A243">
        <v>10107240</v>
      </c>
      <c r="B243" t="s">
        <v>492</v>
      </c>
      <c r="C243" t="s">
        <v>493</v>
      </c>
    </row>
    <row r="244" spans="1:3" x14ac:dyDescent="0.25">
      <c r="A244">
        <v>10107241</v>
      </c>
      <c r="B244" t="s">
        <v>494</v>
      </c>
      <c r="C244" t="s">
        <v>495</v>
      </c>
    </row>
    <row r="245" spans="1:3" x14ac:dyDescent="0.25">
      <c r="A245">
        <v>10107242</v>
      </c>
      <c r="B245" t="s">
        <v>496</v>
      </c>
      <c r="C245" t="s">
        <v>497</v>
      </c>
    </row>
    <row r="246" spans="1:3" x14ac:dyDescent="0.25">
      <c r="A246">
        <v>10107243</v>
      </c>
      <c r="B246" t="s">
        <v>498</v>
      </c>
      <c r="C246" t="s">
        <v>499</v>
      </c>
    </row>
    <row r="247" spans="1:3" x14ac:dyDescent="0.25">
      <c r="A247">
        <v>10107244</v>
      </c>
      <c r="B247" t="s">
        <v>500</v>
      </c>
      <c r="C247" t="s">
        <v>501</v>
      </c>
    </row>
    <row r="248" spans="1:3" x14ac:dyDescent="0.25">
      <c r="A248">
        <v>10107245</v>
      </c>
      <c r="B248" t="s">
        <v>502</v>
      </c>
      <c r="C248" t="s">
        <v>503</v>
      </c>
    </row>
    <row r="249" spans="1:3" x14ac:dyDescent="0.25">
      <c r="A249">
        <v>10107246</v>
      </c>
      <c r="B249" t="s">
        <v>504</v>
      </c>
      <c r="C249" t="s">
        <v>505</v>
      </c>
    </row>
    <row r="250" spans="1:3" x14ac:dyDescent="0.25">
      <c r="A250">
        <v>10107247</v>
      </c>
      <c r="B250" t="s">
        <v>506</v>
      </c>
      <c r="C250" t="s">
        <v>507</v>
      </c>
    </row>
    <row r="251" spans="1:3" x14ac:dyDescent="0.25">
      <c r="A251">
        <v>10107248</v>
      </c>
      <c r="B251" t="s">
        <v>508</v>
      </c>
      <c r="C251" t="s">
        <v>509</v>
      </c>
    </row>
    <row r="252" spans="1:3" x14ac:dyDescent="0.25">
      <c r="A252">
        <v>10107249</v>
      </c>
      <c r="B252" t="s">
        <v>510</v>
      </c>
      <c r="C252" t="s">
        <v>511</v>
      </c>
    </row>
    <row r="253" spans="1:3" x14ac:dyDescent="0.25">
      <c r="A253">
        <v>10107250</v>
      </c>
      <c r="B253" t="s">
        <v>512</v>
      </c>
      <c r="C253" t="s">
        <v>513</v>
      </c>
    </row>
    <row r="254" spans="1:3" x14ac:dyDescent="0.25">
      <c r="A254">
        <v>10107251</v>
      </c>
      <c r="B254" t="s">
        <v>514</v>
      </c>
      <c r="C254" t="s">
        <v>515</v>
      </c>
    </row>
    <row r="255" spans="1:3" x14ac:dyDescent="0.25">
      <c r="A255">
        <v>10107252</v>
      </c>
      <c r="B255" t="s">
        <v>516</v>
      </c>
      <c r="C255" t="s">
        <v>517</v>
      </c>
    </row>
    <row r="256" spans="1:3" x14ac:dyDescent="0.25">
      <c r="A256">
        <v>10107253</v>
      </c>
      <c r="B256" t="s">
        <v>518</v>
      </c>
      <c r="C256" t="s">
        <v>519</v>
      </c>
    </row>
    <row r="257" spans="1:3" x14ac:dyDescent="0.25">
      <c r="A257">
        <v>10107254</v>
      </c>
      <c r="B257" t="s">
        <v>520</v>
      </c>
      <c r="C257" t="s">
        <v>521</v>
      </c>
    </row>
    <row r="258" spans="1:3" x14ac:dyDescent="0.25">
      <c r="A258">
        <v>10107255</v>
      </c>
      <c r="B258" t="s">
        <v>522</v>
      </c>
      <c r="C258" t="s">
        <v>523</v>
      </c>
    </row>
    <row r="259" spans="1:3" x14ac:dyDescent="0.25">
      <c r="A259">
        <v>10107256</v>
      </c>
      <c r="B259" t="s">
        <v>524</v>
      </c>
      <c r="C259" t="s">
        <v>525</v>
      </c>
    </row>
    <row r="260" spans="1:3" x14ac:dyDescent="0.25">
      <c r="A260">
        <v>10107257</v>
      </c>
      <c r="B260" t="s">
        <v>526</v>
      </c>
      <c r="C260" t="s">
        <v>527</v>
      </c>
    </row>
    <row r="261" spans="1:3" x14ac:dyDescent="0.25">
      <c r="A261">
        <v>10107258</v>
      </c>
      <c r="B261" t="s">
        <v>528</v>
      </c>
      <c r="C261" t="s">
        <v>529</v>
      </c>
    </row>
    <row r="262" spans="1:3" x14ac:dyDescent="0.25">
      <c r="A262">
        <v>10107259</v>
      </c>
      <c r="B262" t="s">
        <v>530</v>
      </c>
      <c r="C262" t="s">
        <v>531</v>
      </c>
    </row>
    <row r="263" spans="1:3" x14ac:dyDescent="0.25">
      <c r="A263">
        <v>10107260</v>
      </c>
      <c r="B263" t="s">
        <v>532</v>
      </c>
      <c r="C263" t="s">
        <v>533</v>
      </c>
    </row>
    <row r="264" spans="1:3" x14ac:dyDescent="0.25">
      <c r="A264">
        <v>10107261</v>
      </c>
      <c r="B264" t="s">
        <v>534</v>
      </c>
      <c r="C264" t="s">
        <v>535</v>
      </c>
    </row>
    <row r="265" spans="1:3" x14ac:dyDescent="0.25">
      <c r="A265">
        <v>10107262</v>
      </c>
      <c r="B265" t="s">
        <v>536</v>
      </c>
      <c r="C265" t="s">
        <v>537</v>
      </c>
    </row>
    <row r="266" spans="1:3" x14ac:dyDescent="0.25">
      <c r="A266">
        <v>10107263</v>
      </c>
      <c r="B266" t="s">
        <v>538</v>
      </c>
      <c r="C266" t="s">
        <v>539</v>
      </c>
    </row>
    <row r="267" spans="1:3" x14ac:dyDescent="0.25">
      <c r="A267">
        <v>10107264</v>
      </c>
      <c r="B267" t="s">
        <v>540</v>
      </c>
      <c r="C267" t="s">
        <v>541</v>
      </c>
    </row>
    <row r="268" spans="1:3" x14ac:dyDescent="0.25">
      <c r="A268">
        <v>10107265</v>
      </c>
      <c r="B268" t="s">
        <v>542</v>
      </c>
      <c r="C268" t="s">
        <v>543</v>
      </c>
    </row>
    <row r="269" spans="1:3" x14ac:dyDescent="0.25">
      <c r="A269">
        <v>10107266</v>
      </c>
      <c r="B269" t="s">
        <v>544</v>
      </c>
      <c r="C269" t="s">
        <v>545</v>
      </c>
    </row>
    <row r="270" spans="1:3" x14ac:dyDescent="0.25">
      <c r="A270">
        <v>10107267</v>
      </c>
      <c r="B270" t="s">
        <v>546</v>
      </c>
      <c r="C270" t="s">
        <v>547</v>
      </c>
    </row>
    <row r="271" spans="1:3" x14ac:dyDescent="0.25">
      <c r="A271">
        <v>10107268</v>
      </c>
      <c r="B271" t="s">
        <v>548</v>
      </c>
      <c r="C271" t="s">
        <v>549</v>
      </c>
    </row>
    <row r="272" spans="1:3" x14ac:dyDescent="0.25">
      <c r="A272">
        <v>10107269</v>
      </c>
      <c r="B272" t="s">
        <v>550</v>
      </c>
      <c r="C272" t="s">
        <v>551</v>
      </c>
    </row>
    <row r="273" spans="1:3" x14ac:dyDescent="0.25">
      <c r="A273">
        <v>10107270</v>
      </c>
      <c r="B273" t="s">
        <v>552</v>
      </c>
      <c r="C273" t="s">
        <v>553</v>
      </c>
    </row>
    <row r="274" spans="1:3" x14ac:dyDescent="0.25">
      <c r="A274">
        <v>10107271</v>
      </c>
      <c r="B274" t="s">
        <v>554</v>
      </c>
      <c r="C274" t="s">
        <v>555</v>
      </c>
    </row>
    <row r="275" spans="1:3" x14ac:dyDescent="0.25">
      <c r="A275">
        <v>10107272</v>
      </c>
      <c r="B275" t="s">
        <v>556</v>
      </c>
      <c r="C275" t="s">
        <v>557</v>
      </c>
    </row>
    <row r="276" spans="1:3" x14ac:dyDescent="0.25">
      <c r="A276">
        <v>10107273</v>
      </c>
      <c r="B276" t="s">
        <v>558</v>
      </c>
      <c r="C276" t="s">
        <v>559</v>
      </c>
    </row>
    <row r="277" spans="1:3" x14ac:dyDescent="0.25">
      <c r="A277">
        <v>10107274</v>
      </c>
      <c r="B277" t="s">
        <v>560</v>
      </c>
      <c r="C277" t="s">
        <v>561</v>
      </c>
    </row>
    <row r="278" spans="1:3" x14ac:dyDescent="0.25">
      <c r="A278">
        <v>10107275</v>
      </c>
      <c r="B278" t="s">
        <v>562</v>
      </c>
      <c r="C278" t="s">
        <v>563</v>
      </c>
    </row>
    <row r="279" spans="1:3" x14ac:dyDescent="0.25">
      <c r="A279">
        <v>10107276</v>
      </c>
      <c r="B279" t="s">
        <v>564</v>
      </c>
      <c r="C279" t="s">
        <v>565</v>
      </c>
    </row>
    <row r="280" spans="1:3" x14ac:dyDescent="0.25">
      <c r="A280">
        <v>10107277</v>
      </c>
      <c r="B280" t="s">
        <v>566</v>
      </c>
      <c r="C280" t="s">
        <v>567</v>
      </c>
    </row>
    <row r="281" spans="1:3" x14ac:dyDescent="0.25">
      <c r="A281">
        <v>10107278</v>
      </c>
      <c r="B281" t="s">
        <v>568</v>
      </c>
      <c r="C281" t="s">
        <v>569</v>
      </c>
    </row>
    <row r="282" spans="1:3" x14ac:dyDescent="0.25">
      <c r="A282">
        <v>10107279</v>
      </c>
      <c r="B282" t="s">
        <v>570</v>
      </c>
      <c r="C282" t="s">
        <v>571</v>
      </c>
    </row>
    <row r="283" spans="1:3" x14ac:dyDescent="0.25">
      <c r="A283">
        <v>10107280</v>
      </c>
      <c r="B283" t="s">
        <v>572</v>
      </c>
      <c r="C283" t="s">
        <v>573</v>
      </c>
    </row>
    <row r="284" spans="1:3" x14ac:dyDescent="0.25">
      <c r="A284">
        <v>10107281</v>
      </c>
      <c r="B284" t="s">
        <v>574</v>
      </c>
      <c r="C284" t="s">
        <v>575</v>
      </c>
    </row>
    <row r="285" spans="1:3" x14ac:dyDescent="0.25">
      <c r="A285">
        <v>10107282</v>
      </c>
      <c r="B285" t="s">
        <v>576</v>
      </c>
      <c r="C285" t="s">
        <v>577</v>
      </c>
    </row>
    <row r="286" spans="1:3" x14ac:dyDescent="0.25">
      <c r="A286">
        <v>10107283</v>
      </c>
      <c r="B286" t="s">
        <v>578</v>
      </c>
      <c r="C286" t="s">
        <v>579</v>
      </c>
    </row>
    <row r="287" spans="1:3" x14ac:dyDescent="0.25">
      <c r="A287">
        <v>10107284</v>
      </c>
      <c r="B287" t="s">
        <v>580</v>
      </c>
      <c r="C287" t="s">
        <v>581</v>
      </c>
    </row>
    <row r="288" spans="1:3" x14ac:dyDescent="0.25">
      <c r="A288">
        <v>10107285</v>
      </c>
      <c r="B288" t="s">
        <v>582</v>
      </c>
      <c r="C288" t="s">
        <v>583</v>
      </c>
    </row>
    <row r="289" spans="1:3" x14ac:dyDescent="0.25">
      <c r="A289">
        <v>10107286</v>
      </c>
      <c r="B289" t="s">
        <v>584</v>
      </c>
      <c r="C289" t="s">
        <v>585</v>
      </c>
    </row>
    <row r="290" spans="1:3" x14ac:dyDescent="0.25">
      <c r="A290">
        <v>10107287</v>
      </c>
      <c r="B290" t="s">
        <v>586</v>
      </c>
      <c r="C290" t="s">
        <v>587</v>
      </c>
    </row>
    <row r="291" spans="1:3" x14ac:dyDescent="0.25">
      <c r="A291">
        <v>10107288</v>
      </c>
      <c r="B291" t="s">
        <v>588</v>
      </c>
      <c r="C291" t="s">
        <v>589</v>
      </c>
    </row>
    <row r="292" spans="1:3" x14ac:dyDescent="0.25">
      <c r="C292" t="s">
        <v>753</v>
      </c>
    </row>
    <row r="293" spans="1:3" x14ac:dyDescent="0.25">
      <c r="C293" t="s">
        <v>754</v>
      </c>
    </row>
    <row r="294" spans="1:3" x14ac:dyDescent="0.25">
      <c r="C294" t="s">
        <v>755</v>
      </c>
    </row>
    <row r="295" spans="1:3" x14ac:dyDescent="0.25">
      <c r="C295" t="s">
        <v>756</v>
      </c>
    </row>
    <row r="296" spans="1:3" x14ac:dyDescent="0.25">
      <c r="C296" t="s">
        <v>757</v>
      </c>
    </row>
    <row r="297" spans="1:3" x14ac:dyDescent="0.25">
      <c r="C297" t="s">
        <v>758</v>
      </c>
    </row>
    <row r="298" spans="1:3" x14ac:dyDescent="0.25">
      <c r="C298" t="s">
        <v>759</v>
      </c>
    </row>
    <row r="299" spans="1:3" x14ac:dyDescent="0.25">
      <c r="C299" t="s">
        <v>760</v>
      </c>
    </row>
    <row r="300" spans="1:3" x14ac:dyDescent="0.25">
      <c r="C300" t="s">
        <v>761</v>
      </c>
    </row>
    <row r="301" spans="1:3" x14ac:dyDescent="0.25">
      <c r="C301" t="s">
        <v>762</v>
      </c>
    </row>
    <row r="302" spans="1:3" x14ac:dyDescent="0.25">
      <c r="C302" t="s">
        <v>763</v>
      </c>
    </row>
    <row r="303" spans="1:3" x14ac:dyDescent="0.25">
      <c r="C303" t="s">
        <v>764</v>
      </c>
    </row>
    <row r="304" spans="1:3" x14ac:dyDescent="0.25">
      <c r="C304" t="s">
        <v>765</v>
      </c>
    </row>
    <row r="305" spans="3:3" x14ac:dyDescent="0.25">
      <c r="C305" t="s">
        <v>766</v>
      </c>
    </row>
    <row r="306" spans="3:3" x14ac:dyDescent="0.25">
      <c r="C306" t="s">
        <v>767</v>
      </c>
    </row>
    <row r="307" spans="3:3" x14ac:dyDescent="0.25">
      <c r="C307" t="s">
        <v>768</v>
      </c>
    </row>
    <row r="308" spans="3:3" x14ac:dyDescent="0.25">
      <c r="C308" t="s">
        <v>769</v>
      </c>
    </row>
    <row r="309" spans="3:3" x14ac:dyDescent="0.25">
      <c r="C309" t="s">
        <v>770</v>
      </c>
    </row>
    <row r="310" spans="3:3" x14ac:dyDescent="0.25">
      <c r="C310" t="s">
        <v>771</v>
      </c>
    </row>
    <row r="311" spans="3:3" x14ac:dyDescent="0.25">
      <c r="C311" t="s">
        <v>772</v>
      </c>
    </row>
    <row r="312" spans="3:3" x14ac:dyDescent="0.25">
      <c r="C312" t="s">
        <v>773</v>
      </c>
    </row>
    <row r="313" spans="3:3" x14ac:dyDescent="0.25">
      <c r="C313" t="s">
        <v>774</v>
      </c>
    </row>
    <row r="314" spans="3:3" x14ac:dyDescent="0.25">
      <c r="C314" t="s">
        <v>775</v>
      </c>
    </row>
    <row r="315" spans="3:3" x14ac:dyDescent="0.25">
      <c r="C315" t="s">
        <v>776</v>
      </c>
    </row>
    <row r="316" spans="3:3" x14ac:dyDescent="0.25">
      <c r="C316" t="s">
        <v>777</v>
      </c>
    </row>
    <row r="317" spans="3:3" x14ac:dyDescent="0.25">
      <c r="C317" t="s">
        <v>778</v>
      </c>
    </row>
    <row r="318" spans="3:3" x14ac:dyDescent="0.25">
      <c r="C318" t="s">
        <v>779</v>
      </c>
    </row>
    <row r="319" spans="3:3" x14ac:dyDescent="0.25">
      <c r="C319" t="s">
        <v>780</v>
      </c>
    </row>
    <row r="320" spans="3:3" x14ac:dyDescent="0.25">
      <c r="C320" t="s">
        <v>781</v>
      </c>
    </row>
    <row r="321" spans="3:3" x14ac:dyDescent="0.25">
      <c r="C321" t="s">
        <v>782</v>
      </c>
    </row>
    <row r="322" spans="3:3" x14ac:dyDescent="0.25">
      <c r="C322" t="s">
        <v>783</v>
      </c>
    </row>
    <row r="323" spans="3:3" x14ac:dyDescent="0.25">
      <c r="C323" t="s">
        <v>784</v>
      </c>
    </row>
    <row r="324" spans="3:3" x14ac:dyDescent="0.25">
      <c r="C324" t="s">
        <v>785</v>
      </c>
    </row>
    <row r="325" spans="3:3" x14ac:dyDescent="0.25">
      <c r="C325" t="s">
        <v>786</v>
      </c>
    </row>
    <row r="326" spans="3:3" x14ac:dyDescent="0.25">
      <c r="C326" t="s">
        <v>787</v>
      </c>
    </row>
    <row r="327" spans="3:3" x14ac:dyDescent="0.25">
      <c r="C327" t="s">
        <v>788</v>
      </c>
    </row>
    <row r="328" spans="3:3" x14ac:dyDescent="0.25">
      <c r="C328" t="s">
        <v>789</v>
      </c>
    </row>
    <row r="329" spans="3:3" x14ac:dyDescent="0.25">
      <c r="C329" t="s">
        <v>790</v>
      </c>
    </row>
    <row r="330" spans="3:3" x14ac:dyDescent="0.25">
      <c r="C330" t="s">
        <v>791</v>
      </c>
    </row>
    <row r="331" spans="3:3" x14ac:dyDescent="0.25">
      <c r="C331" t="s">
        <v>792</v>
      </c>
    </row>
    <row r="332" spans="3:3" x14ac:dyDescent="0.25">
      <c r="C332" t="s">
        <v>793</v>
      </c>
    </row>
    <row r="333" spans="3:3" x14ac:dyDescent="0.25">
      <c r="C333" t="s">
        <v>794</v>
      </c>
    </row>
    <row r="334" spans="3:3" x14ac:dyDescent="0.25">
      <c r="C334" t="s">
        <v>795</v>
      </c>
    </row>
    <row r="335" spans="3:3" x14ac:dyDescent="0.25">
      <c r="C335" t="s">
        <v>796</v>
      </c>
    </row>
    <row r="336" spans="3:3" x14ac:dyDescent="0.25">
      <c r="C336" t="s">
        <v>797</v>
      </c>
    </row>
    <row r="337" spans="3:3" x14ac:dyDescent="0.25">
      <c r="C337" t="s">
        <v>798</v>
      </c>
    </row>
    <row r="338" spans="3:3" x14ac:dyDescent="0.25">
      <c r="C338" t="s">
        <v>799</v>
      </c>
    </row>
    <row r="339" spans="3:3" x14ac:dyDescent="0.25">
      <c r="C339" t="s">
        <v>800</v>
      </c>
    </row>
    <row r="340" spans="3:3" x14ac:dyDescent="0.25">
      <c r="C340" t="s">
        <v>801</v>
      </c>
    </row>
    <row r="341" spans="3:3" x14ac:dyDescent="0.25">
      <c r="C341" t="s">
        <v>802</v>
      </c>
    </row>
    <row r="342" spans="3:3" x14ac:dyDescent="0.25">
      <c r="C342" t="s">
        <v>803</v>
      </c>
    </row>
    <row r="343" spans="3:3" x14ac:dyDescent="0.25">
      <c r="C343" t="s">
        <v>804</v>
      </c>
    </row>
    <row r="344" spans="3:3" x14ac:dyDescent="0.25">
      <c r="C344" t="s">
        <v>805</v>
      </c>
    </row>
    <row r="345" spans="3:3" x14ac:dyDescent="0.25">
      <c r="C345" t="s">
        <v>806</v>
      </c>
    </row>
    <row r="346" spans="3:3" x14ac:dyDescent="0.25">
      <c r="C346" t="s">
        <v>807</v>
      </c>
    </row>
    <row r="347" spans="3:3" x14ac:dyDescent="0.25">
      <c r="C347" t="s">
        <v>808</v>
      </c>
    </row>
    <row r="348" spans="3:3" x14ac:dyDescent="0.25">
      <c r="C348" t="s">
        <v>809</v>
      </c>
    </row>
    <row r="349" spans="3:3" x14ac:dyDescent="0.25">
      <c r="C349" t="s">
        <v>810</v>
      </c>
    </row>
    <row r="350" spans="3:3" x14ac:dyDescent="0.25">
      <c r="C350" t="s">
        <v>811</v>
      </c>
    </row>
    <row r="351" spans="3:3" x14ac:dyDescent="0.25">
      <c r="C351" t="s">
        <v>812</v>
      </c>
    </row>
    <row r="352" spans="3:3" x14ac:dyDescent="0.25">
      <c r="C352" t="s">
        <v>813</v>
      </c>
    </row>
    <row r="353" spans="3:3" x14ac:dyDescent="0.25">
      <c r="C353" t="s">
        <v>814</v>
      </c>
    </row>
    <row r="354" spans="3:3" x14ac:dyDescent="0.25">
      <c r="C354" t="s">
        <v>815</v>
      </c>
    </row>
    <row r="355" spans="3:3" x14ac:dyDescent="0.25">
      <c r="C355" t="s">
        <v>816</v>
      </c>
    </row>
    <row r="356" spans="3:3" x14ac:dyDescent="0.25">
      <c r="C356" t="s">
        <v>817</v>
      </c>
    </row>
    <row r="357" spans="3:3" x14ac:dyDescent="0.25">
      <c r="C357" t="s">
        <v>818</v>
      </c>
    </row>
    <row r="358" spans="3:3" x14ac:dyDescent="0.25">
      <c r="C358" t="s">
        <v>819</v>
      </c>
    </row>
    <row r="359" spans="3:3" x14ac:dyDescent="0.25">
      <c r="C359" t="s">
        <v>820</v>
      </c>
    </row>
    <row r="360" spans="3:3" x14ac:dyDescent="0.25">
      <c r="C360" t="s">
        <v>821</v>
      </c>
    </row>
    <row r="361" spans="3:3" x14ac:dyDescent="0.25">
      <c r="C361" t="s">
        <v>822</v>
      </c>
    </row>
    <row r="362" spans="3:3" x14ac:dyDescent="0.25">
      <c r="C362" t="s">
        <v>823</v>
      </c>
    </row>
    <row r="363" spans="3:3" x14ac:dyDescent="0.25">
      <c r="C363" t="s">
        <v>824</v>
      </c>
    </row>
    <row r="364" spans="3:3" x14ac:dyDescent="0.25">
      <c r="C364" t="s">
        <v>825</v>
      </c>
    </row>
    <row r="365" spans="3:3" x14ac:dyDescent="0.25">
      <c r="C365" t="s">
        <v>826</v>
      </c>
    </row>
    <row r="366" spans="3:3" x14ac:dyDescent="0.25">
      <c r="C366" t="s">
        <v>827</v>
      </c>
    </row>
    <row r="367" spans="3:3" x14ac:dyDescent="0.25">
      <c r="C367" t="s">
        <v>828</v>
      </c>
    </row>
    <row r="368" spans="3:3" x14ac:dyDescent="0.25">
      <c r="C368" t="s">
        <v>829</v>
      </c>
    </row>
    <row r="369" spans="3:3" x14ac:dyDescent="0.25">
      <c r="C369" t="s">
        <v>830</v>
      </c>
    </row>
    <row r="370" spans="3:3" x14ac:dyDescent="0.25">
      <c r="C370" t="s">
        <v>831</v>
      </c>
    </row>
    <row r="371" spans="3:3" x14ac:dyDescent="0.25">
      <c r="C371" t="s">
        <v>832</v>
      </c>
    </row>
    <row r="372" spans="3:3" x14ac:dyDescent="0.25">
      <c r="C372" t="s">
        <v>833</v>
      </c>
    </row>
    <row r="373" spans="3:3" x14ac:dyDescent="0.25">
      <c r="C373" t="s">
        <v>834</v>
      </c>
    </row>
    <row r="374" spans="3:3" x14ac:dyDescent="0.25">
      <c r="C374" t="s">
        <v>835</v>
      </c>
    </row>
    <row r="375" spans="3:3" x14ac:dyDescent="0.25">
      <c r="C375" t="s">
        <v>836</v>
      </c>
    </row>
    <row r="376" spans="3:3" x14ac:dyDescent="0.25">
      <c r="C376" t="s">
        <v>837</v>
      </c>
    </row>
    <row r="377" spans="3:3" x14ac:dyDescent="0.25">
      <c r="C377" t="s">
        <v>838</v>
      </c>
    </row>
    <row r="378" spans="3:3" x14ac:dyDescent="0.25">
      <c r="C378" t="s">
        <v>839</v>
      </c>
    </row>
    <row r="379" spans="3:3" x14ac:dyDescent="0.25">
      <c r="C379" t="s">
        <v>840</v>
      </c>
    </row>
    <row r="380" spans="3:3" x14ac:dyDescent="0.25">
      <c r="C380" t="s">
        <v>841</v>
      </c>
    </row>
    <row r="381" spans="3:3" x14ac:dyDescent="0.25">
      <c r="C381" t="s">
        <v>842</v>
      </c>
    </row>
    <row r="382" spans="3:3" x14ac:dyDescent="0.25">
      <c r="C382" t="s">
        <v>843</v>
      </c>
    </row>
    <row r="383" spans="3:3" x14ac:dyDescent="0.25">
      <c r="C383" t="s">
        <v>844</v>
      </c>
    </row>
    <row r="384" spans="3:3" x14ac:dyDescent="0.25">
      <c r="C384" t="s">
        <v>845</v>
      </c>
    </row>
    <row r="385" spans="3:3" x14ac:dyDescent="0.25">
      <c r="C385" t="s">
        <v>846</v>
      </c>
    </row>
    <row r="386" spans="3:3" x14ac:dyDescent="0.25">
      <c r="C386" t="s">
        <v>847</v>
      </c>
    </row>
    <row r="387" spans="3:3" x14ac:dyDescent="0.25">
      <c r="C387" t="s">
        <v>848</v>
      </c>
    </row>
    <row r="388" spans="3:3" x14ac:dyDescent="0.25">
      <c r="C388" t="s">
        <v>849</v>
      </c>
    </row>
    <row r="389" spans="3:3" x14ac:dyDescent="0.25">
      <c r="C389" t="s">
        <v>850</v>
      </c>
    </row>
    <row r="390" spans="3:3" x14ac:dyDescent="0.25">
      <c r="C390" t="s">
        <v>851</v>
      </c>
    </row>
    <row r="391" spans="3:3" x14ac:dyDescent="0.25">
      <c r="C391" t="s">
        <v>852</v>
      </c>
    </row>
    <row r="392" spans="3:3" x14ac:dyDescent="0.25">
      <c r="C392" t="s">
        <v>853</v>
      </c>
    </row>
    <row r="393" spans="3:3" x14ac:dyDescent="0.25">
      <c r="C393" t="s">
        <v>854</v>
      </c>
    </row>
    <row r="394" spans="3:3" x14ac:dyDescent="0.25">
      <c r="C394" t="s">
        <v>855</v>
      </c>
    </row>
    <row r="395" spans="3:3" x14ac:dyDescent="0.25">
      <c r="C395" t="s">
        <v>856</v>
      </c>
    </row>
    <row r="396" spans="3:3" x14ac:dyDescent="0.25">
      <c r="C396" t="s">
        <v>857</v>
      </c>
    </row>
    <row r="397" spans="3:3" x14ac:dyDescent="0.25">
      <c r="C397" t="s">
        <v>858</v>
      </c>
    </row>
    <row r="398" spans="3:3" x14ac:dyDescent="0.25">
      <c r="C398" t="s">
        <v>859</v>
      </c>
    </row>
    <row r="399" spans="3:3" x14ac:dyDescent="0.25">
      <c r="C399" t="s">
        <v>860</v>
      </c>
    </row>
    <row r="400" spans="3:3" x14ac:dyDescent="0.25">
      <c r="C400" t="s">
        <v>861</v>
      </c>
    </row>
    <row r="401" spans="3:3" x14ac:dyDescent="0.25">
      <c r="C401" t="s">
        <v>862</v>
      </c>
    </row>
    <row r="402" spans="3:3" x14ac:dyDescent="0.25">
      <c r="C402" t="s">
        <v>863</v>
      </c>
    </row>
    <row r="403" spans="3:3" x14ac:dyDescent="0.25">
      <c r="C403" t="s">
        <v>864</v>
      </c>
    </row>
    <row r="404" spans="3:3" x14ac:dyDescent="0.25">
      <c r="C404" t="s">
        <v>865</v>
      </c>
    </row>
    <row r="405" spans="3:3" x14ac:dyDescent="0.25">
      <c r="C405" t="s">
        <v>866</v>
      </c>
    </row>
    <row r="406" spans="3:3" x14ac:dyDescent="0.25">
      <c r="C406" t="s">
        <v>867</v>
      </c>
    </row>
    <row r="407" spans="3:3" x14ac:dyDescent="0.25">
      <c r="C407" t="s">
        <v>868</v>
      </c>
    </row>
    <row r="408" spans="3:3" x14ac:dyDescent="0.25">
      <c r="C408" t="s">
        <v>869</v>
      </c>
    </row>
    <row r="409" spans="3:3" x14ac:dyDescent="0.25">
      <c r="C409" t="s">
        <v>870</v>
      </c>
    </row>
    <row r="410" spans="3:3" x14ac:dyDescent="0.25">
      <c r="C410" t="s">
        <v>871</v>
      </c>
    </row>
    <row r="411" spans="3:3" x14ac:dyDescent="0.25">
      <c r="C411" t="s">
        <v>872</v>
      </c>
    </row>
    <row r="412" spans="3:3" x14ac:dyDescent="0.25">
      <c r="C412" t="s">
        <v>873</v>
      </c>
    </row>
    <row r="413" spans="3:3" x14ac:dyDescent="0.25">
      <c r="C413" t="s">
        <v>874</v>
      </c>
    </row>
    <row r="414" spans="3:3" x14ac:dyDescent="0.25">
      <c r="C414" t="s">
        <v>875</v>
      </c>
    </row>
    <row r="415" spans="3:3" x14ac:dyDescent="0.25">
      <c r="C415" t="s">
        <v>876</v>
      </c>
    </row>
    <row r="416" spans="3:3" x14ac:dyDescent="0.25">
      <c r="C416" t="s">
        <v>877</v>
      </c>
    </row>
    <row r="417" spans="3:3" x14ac:dyDescent="0.25">
      <c r="C417" t="s">
        <v>878</v>
      </c>
    </row>
    <row r="418" spans="3:3" x14ac:dyDescent="0.25">
      <c r="C418" t="s">
        <v>879</v>
      </c>
    </row>
    <row r="419" spans="3:3" x14ac:dyDescent="0.25">
      <c r="C419" t="s">
        <v>880</v>
      </c>
    </row>
    <row r="420" spans="3:3" x14ac:dyDescent="0.25">
      <c r="C420" t="s">
        <v>881</v>
      </c>
    </row>
    <row r="421" spans="3:3" x14ac:dyDescent="0.25">
      <c r="C421" t="s">
        <v>882</v>
      </c>
    </row>
    <row r="422" spans="3:3" x14ac:dyDescent="0.25">
      <c r="C422" t="s">
        <v>883</v>
      </c>
    </row>
    <row r="423" spans="3:3" x14ac:dyDescent="0.25">
      <c r="C423" t="s">
        <v>884</v>
      </c>
    </row>
    <row r="424" spans="3:3" x14ac:dyDescent="0.25">
      <c r="C424" t="s">
        <v>885</v>
      </c>
    </row>
    <row r="425" spans="3:3" x14ac:dyDescent="0.25">
      <c r="C425" t="s">
        <v>886</v>
      </c>
    </row>
    <row r="426" spans="3:3" x14ac:dyDescent="0.25">
      <c r="C426" t="s">
        <v>887</v>
      </c>
    </row>
    <row r="427" spans="3:3" x14ac:dyDescent="0.25">
      <c r="C427" t="s">
        <v>888</v>
      </c>
    </row>
    <row r="428" spans="3:3" x14ac:dyDescent="0.25">
      <c r="C428" t="s">
        <v>889</v>
      </c>
    </row>
    <row r="429" spans="3:3" x14ac:dyDescent="0.25">
      <c r="C429" t="s">
        <v>890</v>
      </c>
    </row>
    <row r="430" spans="3:3" x14ac:dyDescent="0.25">
      <c r="C430" t="s">
        <v>891</v>
      </c>
    </row>
    <row r="431" spans="3:3" x14ac:dyDescent="0.25">
      <c r="C431" t="s">
        <v>892</v>
      </c>
    </row>
    <row r="432" spans="3:3" x14ac:dyDescent="0.25">
      <c r="C432" t="s">
        <v>893</v>
      </c>
    </row>
    <row r="433" spans="3:3" x14ac:dyDescent="0.25">
      <c r="C433" t="s">
        <v>894</v>
      </c>
    </row>
    <row r="434" spans="3:3" x14ac:dyDescent="0.25">
      <c r="C434" t="s">
        <v>895</v>
      </c>
    </row>
    <row r="435" spans="3:3" x14ac:dyDescent="0.25">
      <c r="C435" t="s">
        <v>896</v>
      </c>
    </row>
    <row r="436" spans="3:3" x14ac:dyDescent="0.25">
      <c r="C436" t="s">
        <v>897</v>
      </c>
    </row>
    <row r="437" spans="3:3" x14ac:dyDescent="0.25">
      <c r="C437" t="s">
        <v>898</v>
      </c>
    </row>
    <row r="438" spans="3:3" x14ac:dyDescent="0.25">
      <c r="C438" t="s">
        <v>899</v>
      </c>
    </row>
    <row r="439" spans="3:3" x14ac:dyDescent="0.25">
      <c r="C439" t="s">
        <v>900</v>
      </c>
    </row>
    <row r="440" spans="3:3" x14ac:dyDescent="0.25">
      <c r="C440" t="s">
        <v>901</v>
      </c>
    </row>
    <row r="441" spans="3:3" x14ac:dyDescent="0.25">
      <c r="C441" t="s">
        <v>902</v>
      </c>
    </row>
    <row r="442" spans="3:3" x14ac:dyDescent="0.25">
      <c r="C442" t="s">
        <v>903</v>
      </c>
    </row>
    <row r="443" spans="3:3" x14ac:dyDescent="0.25">
      <c r="C443" t="s">
        <v>904</v>
      </c>
    </row>
    <row r="444" spans="3:3" x14ac:dyDescent="0.25">
      <c r="C444" t="s">
        <v>905</v>
      </c>
    </row>
    <row r="445" spans="3:3" x14ac:dyDescent="0.25">
      <c r="C445" t="s">
        <v>906</v>
      </c>
    </row>
    <row r="446" spans="3:3" x14ac:dyDescent="0.25">
      <c r="C446" t="s">
        <v>907</v>
      </c>
    </row>
    <row r="447" spans="3:3" x14ac:dyDescent="0.25">
      <c r="C447" t="s">
        <v>908</v>
      </c>
    </row>
    <row r="448" spans="3:3" x14ac:dyDescent="0.25">
      <c r="C448" t="s">
        <v>909</v>
      </c>
    </row>
    <row r="449" spans="3:3" x14ac:dyDescent="0.25">
      <c r="C449" t="s">
        <v>910</v>
      </c>
    </row>
    <row r="450" spans="3:3" x14ac:dyDescent="0.25">
      <c r="C450" t="s">
        <v>911</v>
      </c>
    </row>
    <row r="451" spans="3:3" x14ac:dyDescent="0.25">
      <c r="C451" t="s">
        <v>912</v>
      </c>
    </row>
    <row r="452" spans="3:3" x14ac:dyDescent="0.25">
      <c r="C452" t="s">
        <v>913</v>
      </c>
    </row>
    <row r="453" spans="3:3" x14ac:dyDescent="0.25">
      <c r="C453" t="s">
        <v>914</v>
      </c>
    </row>
    <row r="454" spans="3:3" x14ac:dyDescent="0.25">
      <c r="C454" t="s">
        <v>915</v>
      </c>
    </row>
    <row r="455" spans="3:3" x14ac:dyDescent="0.25">
      <c r="C455" t="s">
        <v>916</v>
      </c>
    </row>
    <row r="456" spans="3:3" x14ac:dyDescent="0.25">
      <c r="C456" t="s">
        <v>917</v>
      </c>
    </row>
    <row r="457" spans="3:3" x14ac:dyDescent="0.25">
      <c r="C457" t="s">
        <v>918</v>
      </c>
    </row>
    <row r="458" spans="3:3" x14ac:dyDescent="0.25">
      <c r="C458" t="s">
        <v>919</v>
      </c>
    </row>
    <row r="459" spans="3:3" x14ac:dyDescent="0.25">
      <c r="C459" t="s">
        <v>920</v>
      </c>
    </row>
    <row r="460" spans="3:3" x14ac:dyDescent="0.25">
      <c r="C460" t="s">
        <v>921</v>
      </c>
    </row>
    <row r="461" spans="3:3" x14ac:dyDescent="0.25">
      <c r="C461" t="s">
        <v>922</v>
      </c>
    </row>
    <row r="462" spans="3:3" x14ac:dyDescent="0.25">
      <c r="C462" t="s">
        <v>923</v>
      </c>
    </row>
    <row r="463" spans="3:3" x14ac:dyDescent="0.25">
      <c r="C463" t="s">
        <v>924</v>
      </c>
    </row>
    <row r="464" spans="3:3" x14ac:dyDescent="0.25">
      <c r="C464" t="s">
        <v>925</v>
      </c>
    </row>
    <row r="465" spans="3:3" x14ac:dyDescent="0.25">
      <c r="C465" t="s">
        <v>926</v>
      </c>
    </row>
    <row r="466" spans="3:3" x14ac:dyDescent="0.25">
      <c r="C466" t="s">
        <v>927</v>
      </c>
    </row>
    <row r="467" spans="3:3" x14ac:dyDescent="0.25">
      <c r="C467" t="s">
        <v>928</v>
      </c>
    </row>
    <row r="468" spans="3:3" x14ac:dyDescent="0.25">
      <c r="C468" t="s">
        <v>929</v>
      </c>
    </row>
    <row r="469" spans="3:3" x14ac:dyDescent="0.25">
      <c r="C469" t="s">
        <v>930</v>
      </c>
    </row>
    <row r="470" spans="3:3" x14ac:dyDescent="0.25">
      <c r="C470" t="s">
        <v>931</v>
      </c>
    </row>
    <row r="471" spans="3:3" x14ac:dyDescent="0.25">
      <c r="C471" t="s">
        <v>932</v>
      </c>
    </row>
    <row r="472" spans="3:3" x14ac:dyDescent="0.25">
      <c r="C472" t="s">
        <v>933</v>
      </c>
    </row>
    <row r="473" spans="3:3" x14ac:dyDescent="0.25">
      <c r="C473" t="s">
        <v>934</v>
      </c>
    </row>
    <row r="474" spans="3:3" x14ac:dyDescent="0.25">
      <c r="C474" t="s">
        <v>935</v>
      </c>
    </row>
    <row r="475" spans="3:3" x14ac:dyDescent="0.25">
      <c r="C475" t="s">
        <v>936</v>
      </c>
    </row>
    <row r="476" spans="3:3" x14ac:dyDescent="0.25">
      <c r="C476" t="s">
        <v>937</v>
      </c>
    </row>
    <row r="477" spans="3:3" x14ac:dyDescent="0.25">
      <c r="C477" t="s">
        <v>938</v>
      </c>
    </row>
    <row r="478" spans="3:3" x14ac:dyDescent="0.25">
      <c r="C478" t="s">
        <v>939</v>
      </c>
    </row>
    <row r="479" spans="3:3" x14ac:dyDescent="0.25">
      <c r="C479" t="s">
        <v>940</v>
      </c>
    </row>
    <row r="480" spans="3:3" x14ac:dyDescent="0.25">
      <c r="C480" t="s">
        <v>941</v>
      </c>
    </row>
    <row r="481" spans="3:3" x14ac:dyDescent="0.25">
      <c r="C481" t="s">
        <v>942</v>
      </c>
    </row>
    <row r="482" spans="3:3" x14ac:dyDescent="0.25">
      <c r="C482" t="s">
        <v>943</v>
      </c>
    </row>
    <row r="483" spans="3:3" x14ac:dyDescent="0.25">
      <c r="C483" t="s">
        <v>944</v>
      </c>
    </row>
    <row r="484" spans="3:3" x14ac:dyDescent="0.25">
      <c r="C484" t="s">
        <v>945</v>
      </c>
    </row>
    <row r="485" spans="3:3" x14ac:dyDescent="0.25">
      <c r="C485" t="s">
        <v>946</v>
      </c>
    </row>
    <row r="486" spans="3:3" x14ac:dyDescent="0.25">
      <c r="C486" t="s">
        <v>947</v>
      </c>
    </row>
    <row r="487" spans="3:3" x14ac:dyDescent="0.25">
      <c r="C487" t="s">
        <v>948</v>
      </c>
    </row>
    <row r="488" spans="3:3" x14ac:dyDescent="0.25">
      <c r="C488" t="s">
        <v>949</v>
      </c>
    </row>
    <row r="489" spans="3:3" x14ac:dyDescent="0.25">
      <c r="C489" t="s">
        <v>950</v>
      </c>
    </row>
    <row r="490" spans="3:3" x14ac:dyDescent="0.25">
      <c r="C490" t="s">
        <v>951</v>
      </c>
    </row>
    <row r="491" spans="3:3" x14ac:dyDescent="0.25">
      <c r="C491" t="s">
        <v>952</v>
      </c>
    </row>
    <row r="492" spans="3:3" x14ac:dyDescent="0.25">
      <c r="C492" t="s">
        <v>953</v>
      </c>
    </row>
    <row r="493" spans="3:3" x14ac:dyDescent="0.25">
      <c r="C493" t="s">
        <v>954</v>
      </c>
    </row>
    <row r="494" spans="3:3" x14ac:dyDescent="0.25">
      <c r="C494" t="s">
        <v>955</v>
      </c>
    </row>
    <row r="495" spans="3:3" x14ac:dyDescent="0.25">
      <c r="C495" t="s">
        <v>956</v>
      </c>
    </row>
    <row r="496" spans="3:3" x14ac:dyDescent="0.25">
      <c r="C496" t="s">
        <v>957</v>
      </c>
    </row>
    <row r="497" spans="3:3" x14ac:dyDescent="0.25">
      <c r="C497" t="s">
        <v>958</v>
      </c>
    </row>
    <row r="498" spans="3:3" x14ac:dyDescent="0.25">
      <c r="C498" t="s">
        <v>959</v>
      </c>
    </row>
    <row r="499" spans="3:3" x14ac:dyDescent="0.25">
      <c r="C499" t="s">
        <v>960</v>
      </c>
    </row>
    <row r="500" spans="3:3" x14ac:dyDescent="0.25">
      <c r="C500" t="s">
        <v>961</v>
      </c>
    </row>
    <row r="501" spans="3:3" x14ac:dyDescent="0.25">
      <c r="C501" t="s">
        <v>962</v>
      </c>
    </row>
    <row r="502" spans="3:3" x14ac:dyDescent="0.25">
      <c r="C502" t="s">
        <v>963</v>
      </c>
    </row>
    <row r="503" spans="3:3" x14ac:dyDescent="0.25">
      <c r="C503" t="s">
        <v>964</v>
      </c>
    </row>
    <row r="504" spans="3:3" x14ac:dyDescent="0.25">
      <c r="C504" t="s">
        <v>965</v>
      </c>
    </row>
    <row r="505" spans="3:3" x14ac:dyDescent="0.25">
      <c r="C505" t="s">
        <v>966</v>
      </c>
    </row>
    <row r="506" spans="3:3" x14ac:dyDescent="0.25">
      <c r="C506" t="s">
        <v>967</v>
      </c>
    </row>
    <row r="507" spans="3:3" x14ac:dyDescent="0.25">
      <c r="C507" t="s">
        <v>968</v>
      </c>
    </row>
    <row r="508" spans="3:3" x14ac:dyDescent="0.25">
      <c r="C508" t="s">
        <v>969</v>
      </c>
    </row>
    <row r="509" spans="3:3" x14ac:dyDescent="0.25">
      <c r="C509" t="s">
        <v>970</v>
      </c>
    </row>
    <row r="510" spans="3:3" x14ac:dyDescent="0.25">
      <c r="C510" t="s">
        <v>971</v>
      </c>
    </row>
    <row r="511" spans="3:3" x14ac:dyDescent="0.25">
      <c r="C511" t="s">
        <v>972</v>
      </c>
    </row>
    <row r="512" spans="3:3" x14ac:dyDescent="0.25">
      <c r="C512" t="s">
        <v>973</v>
      </c>
    </row>
    <row r="513" spans="3:3" x14ac:dyDescent="0.25">
      <c r="C513" t="s">
        <v>974</v>
      </c>
    </row>
    <row r="514" spans="3:3" x14ac:dyDescent="0.25">
      <c r="C514" t="s">
        <v>975</v>
      </c>
    </row>
    <row r="515" spans="3:3" x14ac:dyDescent="0.25">
      <c r="C515" t="s">
        <v>976</v>
      </c>
    </row>
    <row r="516" spans="3:3" x14ac:dyDescent="0.25">
      <c r="C516" t="s">
        <v>977</v>
      </c>
    </row>
    <row r="517" spans="3:3" x14ac:dyDescent="0.25">
      <c r="C517" t="s">
        <v>978</v>
      </c>
    </row>
    <row r="518" spans="3:3" x14ac:dyDescent="0.25">
      <c r="C518" t="s">
        <v>979</v>
      </c>
    </row>
    <row r="519" spans="3:3" x14ac:dyDescent="0.25">
      <c r="C519" t="s">
        <v>980</v>
      </c>
    </row>
    <row r="520" spans="3:3" x14ac:dyDescent="0.25">
      <c r="C520" t="s">
        <v>981</v>
      </c>
    </row>
    <row r="521" spans="3:3" x14ac:dyDescent="0.25">
      <c r="C521" t="s">
        <v>982</v>
      </c>
    </row>
    <row r="522" spans="3:3" x14ac:dyDescent="0.25">
      <c r="C522" t="s">
        <v>983</v>
      </c>
    </row>
    <row r="523" spans="3:3" x14ac:dyDescent="0.25">
      <c r="C523" t="s">
        <v>984</v>
      </c>
    </row>
    <row r="524" spans="3:3" x14ac:dyDescent="0.25">
      <c r="C524" t="s">
        <v>985</v>
      </c>
    </row>
    <row r="525" spans="3:3" x14ac:dyDescent="0.25">
      <c r="C525" t="s">
        <v>986</v>
      </c>
    </row>
    <row r="526" spans="3:3" x14ac:dyDescent="0.25">
      <c r="C526" t="s">
        <v>987</v>
      </c>
    </row>
    <row r="527" spans="3:3" x14ac:dyDescent="0.25">
      <c r="C527" t="s">
        <v>988</v>
      </c>
    </row>
    <row r="528" spans="3:3" x14ac:dyDescent="0.25">
      <c r="C528" t="s">
        <v>989</v>
      </c>
    </row>
    <row r="529" spans="3:3" x14ac:dyDescent="0.25">
      <c r="C529" t="s">
        <v>990</v>
      </c>
    </row>
    <row r="530" spans="3:3" x14ac:dyDescent="0.25">
      <c r="C530" t="s">
        <v>991</v>
      </c>
    </row>
    <row r="531" spans="3:3" x14ac:dyDescent="0.25">
      <c r="C531" t="s">
        <v>992</v>
      </c>
    </row>
    <row r="532" spans="3:3" x14ac:dyDescent="0.25">
      <c r="C532" t="s">
        <v>993</v>
      </c>
    </row>
    <row r="533" spans="3:3" x14ac:dyDescent="0.25">
      <c r="C533" t="s">
        <v>994</v>
      </c>
    </row>
    <row r="534" spans="3:3" x14ac:dyDescent="0.25">
      <c r="C534" t="s">
        <v>995</v>
      </c>
    </row>
    <row r="535" spans="3:3" x14ac:dyDescent="0.25">
      <c r="C535" t="s">
        <v>996</v>
      </c>
    </row>
    <row r="536" spans="3:3" x14ac:dyDescent="0.25">
      <c r="C536" t="s">
        <v>997</v>
      </c>
    </row>
    <row r="537" spans="3:3" x14ac:dyDescent="0.25">
      <c r="C537" t="s">
        <v>998</v>
      </c>
    </row>
    <row r="538" spans="3:3" x14ac:dyDescent="0.25">
      <c r="C538" t="s">
        <v>999</v>
      </c>
    </row>
    <row r="539" spans="3:3" x14ac:dyDescent="0.25">
      <c r="C539" t="s">
        <v>1000</v>
      </c>
    </row>
    <row r="540" spans="3:3" x14ac:dyDescent="0.25">
      <c r="C540" t="s">
        <v>1001</v>
      </c>
    </row>
    <row r="541" spans="3:3" x14ac:dyDescent="0.25">
      <c r="C541" t="s">
        <v>1002</v>
      </c>
    </row>
    <row r="542" spans="3:3" x14ac:dyDescent="0.25">
      <c r="C542" t="s">
        <v>1003</v>
      </c>
    </row>
    <row r="543" spans="3:3" x14ac:dyDescent="0.25">
      <c r="C543" t="s">
        <v>1004</v>
      </c>
    </row>
    <row r="544" spans="3:3" x14ac:dyDescent="0.25">
      <c r="C544" t="s">
        <v>1005</v>
      </c>
    </row>
    <row r="545" spans="3:3" x14ac:dyDescent="0.25">
      <c r="C545" t="s">
        <v>1006</v>
      </c>
    </row>
    <row r="546" spans="3:3" x14ac:dyDescent="0.25">
      <c r="C546" t="s">
        <v>1007</v>
      </c>
    </row>
    <row r="547" spans="3:3" x14ac:dyDescent="0.25">
      <c r="C547" t="s">
        <v>1008</v>
      </c>
    </row>
    <row r="548" spans="3:3" x14ac:dyDescent="0.25">
      <c r="C548" t="s">
        <v>1009</v>
      </c>
    </row>
    <row r="549" spans="3:3" x14ac:dyDescent="0.25">
      <c r="C549" t="s">
        <v>1010</v>
      </c>
    </row>
    <row r="550" spans="3:3" x14ac:dyDescent="0.25">
      <c r="C550" t="s">
        <v>1011</v>
      </c>
    </row>
    <row r="551" spans="3:3" x14ac:dyDescent="0.25">
      <c r="C551" t="s">
        <v>1012</v>
      </c>
    </row>
    <row r="552" spans="3:3" x14ac:dyDescent="0.25">
      <c r="C552" t="s">
        <v>1013</v>
      </c>
    </row>
    <row r="553" spans="3:3" x14ac:dyDescent="0.25">
      <c r="C553" t="s">
        <v>1014</v>
      </c>
    </row>
    <row r="554" spans="3:3" x14ac:dyDescent="0.25">
      <c r="C554" t="s">
        <v>1015</v>
      </c>
    </row>
    <row r="555" spans="3:3" x14ac:dyDescent="0.25">
      <c r="C555" t="s">
        <v>1016</v>
      </c>
    </row>
    <row r="556" spans="3:3" x14ac:dyDescent="0.25">
      <c r="C556" t="s">
        <v>1017</v>
      </c>
    </row>
    <row r="557" spans="3:3" x14ac:dyDescent="0.25">
      <c r="C557" t="s">
        <v>1018</v>
      </c>
    </row>
    <row r="558" spans="3:3" x14ac:dyDescent="0.25">
      <c r="C558" t="s">
        <v>1019</v>
      </c>
    </row>
    <row r="559" spans="3:3" x14ac:dyDescent="0.25">
      <c r="C559" t="s">
        <v>1020</v>
      </c>
    </row>
    <row r="560" spans="3:3" x14ac:dyDescent="0.25">
      <c r="C560" t="s">
        <v>1021</v>
      </c>
    </row>
    <row r="561" spans="3:3" x14ac:dyDescent="0.25">
      <c r="C561" t="s">
        <v>1022</v>
      </c>
    </row>
    <row r="562" spans="3:3" x14ac:dyDescent="0.25">
      <c r="C562" t="s">
        <v>1023</v>
      </c>
    </row>
    <row r="563" spans="3:3" x14ac:dyDescent="0.25">
      <c r="C563" t="s">
        <v>1024</v>
      </c>
    </row>
    <row r="564" spans="3:3" x14ac:dyDescent="0.25">
      <c r="C564" t="s">
        <v>1025</v>
      </c>
    </row>
    <row r="565" spans="3:3" x14ac:dyDescent="0.25">
      <c r="C565" t="s">
        <v>1026</v>
      </c>
    </row>
    <row r="566" spans="3:3" x14ac:dyDescent="0.25">
      <c r="C566" t="s">
        <v>1027</v>
      </c>
    </row>
    <row r="567" spans="3:3" x14ac:dyDescent="0.25">
      <c r="C567" t="s">
        <v>1028</v>
      </c>
    </row>
    <row r="568" spans="3:3" x14ac:dyDescent="0.25">
      <c r="C568" t="s">
        <v>1029</v>
      </c>
    </row>
    <row r="569" spans="3:3" x14ac:dyDescent="0.25">
      <c r="C569" t="s">
        <v>1030</v>
      </c>
    </row>
    <row r="570" spans="3:3" x14ac:dyDescent="0.25">
      <c r="C570" t="s">
        <v>1031</v>
      </c>
    </row>
    <row r="571" spans="3:3" x14ac:dyDescent="0.25">
      <c r="C571" t="s">
        <v>1032</v>
      </c>
    </row>
    <row r="572" spans="3:3" x14ac:dyDescent="0.25">
      <c r="C572" t="s">
        <v>1033</v>
      </c>
    </row>
    <row r="573" spans="3:3" x14ac:dyDescent="0.25">
      <c r="C573" t="s">
        <v>1034</v>
      </c>
    </row>
    <row r="574" spans="3:3" x14ac:dyDescent="0.25">
      <c r="C574" t="s">
        <v>1035</v>
      </c>
    </row>
    <row r="575" spans="3:3" x14ac:dyDescent="0.25">
      <c r="C575" t="s">
        <v>1036</v>
      </c>
    </row>
    <row r="576" spans="3:3" x14ac:dyDescent="0.25">
      <c r="C576" t="s">
        <v>1037</v>
      </c>
    </row>
    <row r="577" spans="3:3" x14ac:dyDescent="0.25">
      <c r="C577" t="s">
        <v>1038</v>
      </c>
    </row>
    <row r="578" spans="3:3" x14ac:dyDescent="0.25">
      <c r="C578" t="s">
        <v>1039</v>
      </c>
    </row>
    <row r="579" spans="3:3" x14ac:dyDescent="0.25">
      <c r="C579" t="s">
        <v>1040</v>
      </c>
    </row>
    <row r="580" spans="3:3" x14ac:dyDescent="0.25">
      <c r="C580" t="s">
        <v>1063</v>
      </c>
    </row>
    <row r="581" spans="3:3" x14ac:dyDescent="0.25">
      <c r="C581" t="s">
        <v>1064</v>
      </c>
    </row>
    <row r="582" spans="3:3" x14ac:dyDescent="0.25">
      <c r="C582" t="s">
        <v>1065</v>
      </c>
    </row>
    <row r="583" spans="3:3" x14ac:dyDescent="0.25">
      <c r="C583" t="s">
        <v>1083</v>
      </c>
    </row>
    <row r="584" spans="3:3" x14ac:dyDescent="0.25">
      <c r="C584" t="s">
        <v>1084</v>
      </c>
    </row>
    <row r="585" spans="3:3" x14ac:dyDescent="0.25">
      <c r="C585" t="s">
        <v>1085</v>
      </c>
    </row>
    <row r="586" spans="3:3" x14ac:dyDescent="0.25">
      <c r="C586" t="s">
        <v>1086</v>
      </c>
    </row>
    <row r="587" spans="3:3" x14ac:dyDescent="0.25">
      <c r="C587" t="s">
        <v>1087</v>
      </c>
    </row>
    <row r="588" spans="3:3" x14ac:dyDescent="0.25">
      <c r="C588" t="s">
        <v>1088</v>
      </c>
    </row>
    <row r="589" spans="3:3" x14ac:dyDescent="0.25">
      <c r="C589" t="s">
        <v>1089</v>
      </c>
    </row>
    <row r="590" spans="3:3" x14ac:dyDescent="0.25">
      <c r="C590" t="s">
        <v>1090</v>
      </c>
    </row>
    <row r="591" spans="3:3" x14ac:dyDescent="0.25">
      <c r="C591" t="s">
        <v>1091</v>
      </c>
    </row>
    <row r="592" spans="3:3" x14ac:dyDescent="0.25">
      <c r="C592" t="s">
        <v>1092</v>
      </c>
    </row>
    <row r="593" spans="3:3" x14ac:dyDescent="0.25">
      <c r="C593" t="s">
        <v>1093</v>
      </c>
    </row>
    <row r="594" spans="3:3" x14ac:dyDescent="0.25">
      <c r="C594" t="s">
        <v>1094</v>
      </c>
    </row>
    <row r="595" spans="3:3" x14ac:dyDescent="0.25">
      <c r="C595" t="s">
        <v>1095</v>
      </c>
    </row>
    <row r="596" spans="3:3" x14ac:dyDescent="0.25">
      <c r="C596" t="s">
        <v>1096</v>
      </c>
    </row>
    <row r="597" spans="3:3" x14ac:dyDescent="0.25">
      <c r="C597" t="s">
        <v>1097</v>
      </c>
    </row>
    <row r="598" spans="3:3" x14ac:dyDescent="0.25">
      <c r="C598" t="s">
        <v>1098</v>
      </c>
    </row>
    <row r="599" spans="3:3" x14ac:dyDescent="0.25">
      <c r="C599" t="s">
        <v>1099</v>
      </c>
    </row>
    <row r="600" spans="3:3" x14ac:dyDescent="0.25">
      <c r="C600" t="s">
        <v>1100</v>
      </c>
    </row>
    <row r="601" spans="3:3" x14ac:dyDescent="0.25">
      <c r="C601" t="s">
        <v>1101</v>
      </c>
    </row>
    <row r="602" spans="3:3" x14ac:dyDescent="0.25">
      <c r="C602" t="s">
        <v>1102</v>
      </c>
    </row>
    <row r="603" spans="3:3" x14ac:dyDescent="0.25">
      <c r="C603" t="s">
        <v>1103</v>
      </c>
    </row>
    <row r="604" spans="3:3" x14ac:dyDescent="0.25">
      <c r="C604" t="s">
        <v>1104</v>
      </c>
    </row>
    <row r="605" spans="3:3" x14ac:dyDescent="0.25">
      <c r="C605" t="s">
        <v>1105</v>
      </c>
    </row>
    <row r="606" spans="3:3" x14ac:dyDescent="0.25">
      <c r="C606" t="s">
        <v>1106</v>
      </c>
    </row>
    <row r="607" spans="3:3" x14ac:dyDescent="0.25">
      <c r="C607" t="s">
        <v>1107</v>
      </c>
    </row>
    <row r="608" spans="3:3" x14ac:dyDescent="0.25">
      <c r="C608" t="s">
        <v>1108</v>
      </c>
    </row>
    <row r="609" spans="3:3" x14ac:dyDescent="0.25">
      <c r="C609" t="s">
        <v>1109</v>
      </c>
    </row>
  </sheetData>
  <phoneticPr fontId="14" type="noConversion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93EF4A-5691-4689-AE10-FE3922560B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Ajustes</vt:lpstr>
      <vt:lpstr>Estoque</vt:lpstr>
      <vt:lpstr>Subtotal</vt:lpstr>
      <vt:lpstr>Rastreabilidade</vt:lpstr>
      <vt:lpstr>Locais - Exp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Jader Jesus</dc:creator>
  <cp:lastModifiedBy>Jader Jesus</cp:lastModifiedBy>
  <dcterms:created xsi:type="dcterms:W3CDTF">2024-10-17T12:35:36Z</dcterms:created>
  <dcterms:modified xsi:type="dcterms:W3CDTF">2024-11-04T16:04:31Z</dcterms:modified>
</cp:coreProperties>
</file>